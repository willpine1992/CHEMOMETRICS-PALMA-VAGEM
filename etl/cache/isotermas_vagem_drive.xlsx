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82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va de Calibração" sheetId="1" r:id="rId4"/>
    <sheet state="visible" name="pH PALMA" sheetId="2" r:id="rId5"/>
    <sheet state="visible" name="Massa PALMA" sheetId="3" r:id="rId6"/>
    <sheet state="visible" name="Tempo PALMA" sheetId="4" r:id="rId7"/>
    <sheet state="visible" name="Conc. e temp PALMA" sheetId="5" r:id="rId8"/>
    <sheet state="visible" name="Isotermas PALMA" sheetId="6" r:id="rId9"/>
    <sheet state="visible" name="Ce x Qe PALMA" sheetId="7" r:id="rId10"/>
    <sheet state="visible" name="Parâmetros PALMA" sheetId="8" r:id="rId11"/>
    <sheet state="visible" name="pH Vagem" sheetId="9" r:id="rId12"/>
    <sheet state="visible" name="Massa Vagem" sheetId="10" r:id="rId13"/>
    <sheet state="visible" name="Tempo (Vagem)" sheetId="11" r:id="rId14"/>
    <sheet state="visible" name="Tempo (Vagem 2)" sheetId="12" r:id="rId15"/>
    <sheet state="visible" name="tempo ph 6 e 10" sheetId="13" r:id="rId16"/>
    <sheet state="visible" name="Curva Vagem" sheetId="14" r:id="rId17"/>
    <sheet state="visible" name="Conc. e temp VAGEM" sheetId="15" r:id="rId18"/>
    <sheet state="visible" name="Isotermas VAGEM" sheetId="16" r:id="rId19"/>
    <sheet state="visible" name="Ce x Qe VAGEM" sheetId="17" r:id="rId20"/>
    <sheet state="visible" name="Parâmetros VAGEM" sheetId="18" r:id="rId21"/>
  </sheets>
  <externalReferences>
    <externalReference r:id="rId22"/>
    <externalReference r:id="rId23"/>
  </externalReferences>
  <definedNames/>
  <calcPr/>
  <extLst>
    <ext uri="GoogleSheetsCustomDataVersion2">
      <go:sheetsCustomData xmlns:go="http://customooxmlschemas.google.com/" r:id="rId24" roundtripDataChecksum="ceauWkeXsn9pc6dzdN6WpMiYq5BfULf9U0LH3n65CRo="/>
    </ext>
  </extLst>
</workbook>
</file>

<file path=xl/sharedStrings.xml><?xml version="1.0" encoding="utf-8"?>
<sst xmlns="http://schemas.openxmlformats.org/spreadsheetml/2006/main" count="3767" uniqueCount="1044">
  <si>
    <t>ABS</t>
  </si>
  <si>
    <t>Concetração (ppm)</t>
  </si>
  <si>
    <t>Fibra da PalmaTratadas com Ácido</t>
  </si>
  <si>
    <t>200 ppm</t>
  </si>
  <si>
    <t>Valores de pH</t>
  </si>
  <si>
    <t>massa de semente (g)</t>
  </si>
  <si>
    <t>Absorbâncias (nm)</t>
  </si>
  <si>
    <t>Média (ppm)</t>
  </si>
  <si>
    <t>Desvio Padrão</t>
  </si>
  <si>
    <t>% Remoção</t>
  </si>
  <si>
    <t>Média %</t>
  </si>
  <si>
    <t>QE (mg/g)</t>
  </si>
  <si>
    <t xml:space="preserve">Média </t>
  </si>
  <si>
    <t>Teorico</t>
  </si>
  <si>
    <t>Exp.</t>
  </si>
  <si>
    <t>m1</t>
  </si>
  <si>
    <t>m2</t>
  </si>
  <si>
    <t>abs1</t>
  </si>
  <si>
    <t>abs2</t>
  </si>
  <si>
    <t>abs 1 dil.</t>
  </si>
  <si>
    <t>abs 2 dil.</t>
  </si>
  <si>
    <t>[ ] 1</t>
  </si>
  <si>
    <t>[ ] 2</t>
  </si>
  <si>
    <t>concentração</t>
  </si>
  <si>
    <t>Massa=100 mg</t>
  </si>
  <si>
    <t>ABS*VOL</t>
  </si>
  <si>
    <t>C. Teorico</t>
  </si>
  <si>
    <t>C. Real</t>
  </si>
  <si>
    <t>Y=0,1678x+0,0244</t>
  </si>
  <si>
    <t>sol 4</t>
  </si>
  <si>
    <t>Fibra Palma Ácido</t>
  </si>
  <si>
    <t>pH=10</t>
  </si>
  <si>
    <t>C. Teorica</t>
  </si>
  <si>
    <t>8h</t>
  </si>
  <si>
    <t>Tempo (min)</t>
  </si>
  <si>
    <t>1 ppm</t>
  </si>
  <si>
    <t>Fator diluição</t>
  </si>
  <si>
    <t>Ce (ppm)</t>
  </si>
  <si>
    <t>DESV P</t>
  </si>
  <si>
    <t>Concetração</t>
  </si>
  <si>
    <t>Absorbância</t>
  </si>
  <si>
    <t>(ppm)</t>
  </si>
  <si>
    <t>(nm)</t>
  </si>
  <si>
    <t>Fibra da Palma In Natura</t>
  </si>
  <si>
    <t>4 ppm</t>
  </si>
  <si>
    <t>desc. 1</t>
  </si>
  <si>
    <t>desc. 2</t>
  </si>
  <si>
    <t>SOL 4</t>
  </si>
  <si>
    <t>SOL 5</t>
  </si>
  <si>
    <t>sol 1</t>
  </si>
  <si>
    <t>sol. 2</t>
  </si>
  <si>
    <t xml:space="preserve">Sol.3 </t>
  </si>
  <si>
    <t>Fibra da Palma tratada com Base</t>
  </si>
  <si>
    <t>Fibra Palma tratada com Ácido</t>
  </si>
  <si>
    <t>pH 10</t>
  </si>
  <si>
    <t>V=</t>
  </si>
  <si>
    <t>Valores das massas (mg)</t>
  </si>
  <si>
    <t>Desv P</t>
  </si>
  <si>
    <t>Fibra Palma Base</t>
  </si>
  <si>
    <t>pH=6</t>
  </si>
  <si>
    <t>4h</t>
  </si>
  <si>
    <t>Fibra Palma tratada com Base</t>
  </si>
  <si>
    <t>pH 6</t>
  </si>
  <si>
    <t>ph 7</t>
  </si>
  <si>
    <t>ph 10</t>
  </si>
  <si>
    <t>média C</t>
  </si>
  <si>
    <t>Isotermas</t>
  </si>
  <si>
    <t>Fibra Palma In Natura</t>
  </si>
  <si>
    <t>15 ºC</t>
  </si>
  <si>
    <t>Fibra da Palma tratada com Base (NaOH)</t>
  </si>
  <si>
    <t>Concentrações</t>
  </si>
  <si>
    <t>Ce Média (ppm)</t>
  </si>
  <si>
    <t xml:space="preserve">Qe Média </t>
  </si>
  <si>
    <t>Fibra da Palma tratada com Ácido (H3PO4)</t>
  </si>
  <si>
    <t>30 ºC</t>
  </si>
  <si>
    <t>Fibra da Palma Base</t>
  </si>
  <si>
    <t>Fibra da Palma Ácido</t>
  </si>
  <si>
    <t>PARÂMETROS DAS ISOTERMAS - COMPARAÇÃO DE TEMPERATURAS</t>
  </si>
  <si>
    <t>Langmuir (Base)</t>
  </si>
  <si>
    <t>Langmuir (Ácido)</t>
  </si>
  <si>
    <t>Langmuir (In natura)</t>
  </si>
  <si>
    <t>Parâmetros</t>
  </si>
  <si>
    <t>15 ℃</t>
  </si>
  <si>
    <t>30 ℃</t>
  </si>
  <si>
    <t>45 ℃</t>
  </si>
  <si>
    <t>45 ºC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</si>
  <si>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</si>
  <si>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</si>
  <si>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</si>
  <si>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</si>
  <si>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</si>
  <si>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</si>
  <si>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</si>
  <si>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</si>
  <si>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</si>
  <si>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Freundlich (Base)</t>
  </si>
  <si>
    <t>estava sem formula</t>
  </si>
  <si>
    <t>Freundlich (Ácido)</t>
  </si>
  <si>
    <t>Freundlich (In natura)</t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</si>
  <si>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</si>
  <si>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</si>
  <si>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</si>
  <si>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</si>
  <si>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</si>
  <si>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</si>
  <si>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</si>
  <si>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</si>
  <si>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</si>
  <si>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</si>
  <si>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</si>
  <si>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</si>
  <si>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Temkin (Base)</t>
  </si>
  <si>
    <t>Temkin (Ácido)</t>
  </si>
  <si>
    <t>Temkin (In natura)</t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</si>
  <si>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</si>
  <si>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</si>
  <si>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</si>
  <si>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t>B (L.g¯¹)</t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</si>
  <si>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</si>
  <si>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</si>
  <si>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</si>
  <si>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</si>
  <si>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</si>
  <si>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</si>
  <si>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Durbinin-Kaganer Radushkevich (Base)</t>
  </si>
  <si>
    <t>Durbinin-Kaganer Radushkevich (Ácido)</t>
  </si>
  <si>
    <t>Durbinin-Kaganer Radushkevich (In natura)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</si>
  <si>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</si>
  <si>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</si>
  <si>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</si>
  <si>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</si>
  <si>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</si>
  <si>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</si>
  <si>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t>E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</si>
  <si>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</si>
  <si>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</si>
  <si>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</si>
  <si>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Harkin-Jura (Base)</t>
  </si>
  <si>
    <t>Harkin-Jura (Ácido)</t>
  </si>
  <si>
    <t>Harkin-Jura (In natura)</t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</si>
  <si>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</si>
  <si>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</si>
  <si>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</si>
  <si>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</si>
  <si>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</si>
  <si>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</si>
  <si>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</si>
  <si>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</si>
  <si>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</si>
  <si>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</si>
  <si>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</si>
  <si>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</si>
  <si>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Halsey (Base)</t>
  </si>
  <si>
    <t>Halsey (Ácido)</t>
  </si>
  <si>
    <t>Halsey (In natura)</t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</si>
  <si>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</si>
  <si>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</si>
  <si>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</si>
  <si>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</si>
  <si>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</si>
  <si>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</si>
  <si>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</si>
  <si>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</si>
  <si>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</si>
  <si>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</si>
  <si>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</si>
  <si>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</si>
  <si>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Base (15±2 ℃)</t>
  </si>
  <si>
    <t>Ci</t>
  </si>
  <si>
    <t>Ce EXP</t>
  </si>
  <si>
    <t>Qe EXP</t>
  </si>
  <si>
    <t>Qe Cal</t>
  </si>
  <si>
    <t>Langmuir</t>
  </si>
  <si>
    <t>Freundlich</t>
  </si>
  <si>
    <t>Temkin</t>
  </si>
  <si>
    <t>DKR</t>
  </si>
  <si>
    <t>Harkin-Jura</t>
  </si>
  <si>
    <t>Halsey</t>
  </si>
  <si>
    <t>Ácido (15±2 ℃)</t>
  </si>
  <si>
    <t>In Natura (15±2 ℃)</t>
  </si>
  <si>
    <t>Base (30±3 ℃)</t>
  </si>
  <si>
    <t>Ácido (30±3 ℃)</t>
  </si>
  <si>
    <t>In Natura (30±3 ℃)</t>
  </si>
  <si>
    <t>Base (45±3 ℃)</t>
  </si>
  <si>
    <t>#NUM!</t>
  </si>
  <si>
    <t>Ácido (45±3 ℃)</t>
  </si>
  <si>
    <t>In Natura (45±3 ℃)</t>
  </si>
  <si>
    <t>Fibra Vagem tratada com Ácido</t>
  </si>
  <si>
    <t>Fibra da Vagem Tratadas com Ácido</t>
  </si>
  <si>
    <t>Fibra Vagem tratada com Base</t>
  </si>
  <si>
    <t>Fibra da Vagem Tratadas com Base</t>
  </si>
  <si>
    <t>Fibra Vagem In Natura</t>
  </si>
  <si>
    <t>pH 8</t>
  </si>
  <si>
    <t>Fibra da Vargem In Natura</t>
  </si>
  <si>
    <t>Massa= 100 mg</t>
  </si>
  <si>
    <t>Fibra Vagem Base</t>
  </si>
  <si>
    <t>Qmax</t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</si>
  <si>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</si>
  <si>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</si>
  <si>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</si>
  <si>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</si>
  <si>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</si>
  <si>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</si>
  <si>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</si>
  <si>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</si>
  <si>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</si>
  <si>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color theme="1"/>
        <sz val="11.0"/>
      </rPr>
      <t>K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</si>
  <si>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</si>
  <si>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</si>
  <si>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K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</si>
  <si>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</si>
  <si>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</si>
  <si>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K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</si>
  <si>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</si>
  <si>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color theme="1"/>
        <sz val="11.0"/>
      </rPr>
      <t>R</t>
    </r>
    <r>
      <rPr>
        <rFont val="Calibri"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</si>
  <si>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</si>
  <si>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</si>
  <si>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</si>
  <si>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</si>
  <si>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</si>
  <si>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</si>
  <si>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</si>
  <si>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</si>
  <si>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</si>
  <si>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t>Fibra Vagem Ácido</t>
  </si>
  <si>
    <t>Sol 4</t>
  </si>
  <si>
    <r>
      <rPr>
        <rFont val="Calibri"/>
        <b/>
        <color theme="0"/>
        <sz val="11.0"/>
      </rPr>
      <t xml:space="preserve">Langmuir (15±2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</si>
  <si>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0"/>
        <sz val="11.0"/>
      </rPr>
      <t xml:space="preserve">Langmuir (30±3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</si>
  <si>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0"/>
        <sz val="11.0"/>
      </rPr>
      <t xml:space="preserve">Langmuir (45±3 </t>
    </r>
    <r>
      <rPr>
        <rFont val="Times New Roman"/>
        <b/>
        <color theme="0"/>
        <sz val="11.0"/>
      </rPr>
      <t>℃)</t>
    </r>
  </si>
  <si>
    <t>Base</t>
  </si>
  <si>
    <t>Ácido</t>
  </si>
  <si>
    <t>In natura</t>
  </si>
  <si>
    <t>Ce médio</t>
  </si>
  <si>
    <t>Qe médio</t>
  </si>
  <si>
    <t>Ce/Qe</t>
  </si>
  <si>
    <t>VAGEM BASE</t>
  </si>
  <si>
    <t>pH  6</t>
  </si>
  <si>
    <t>pH  10</t>
  </si>
  <si>
    <t>pH: 6</t>
  </si>
  <si>
    <t>VAGEM ÁCIDO</t>
  </si>
  <si>
    <t>pH: 10</t>
  </si>
  <si>
    <t>VAGEM IN NATURA</t>
  </si>
  <si>
    <t>pH=8</t>
  </si>
  <si>
    <t>mudei de ln para log</t>
  </si>
  <si>
    <t>b</t>
  </si>
  <si>
    <t>a</t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</si>
  <si>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</si>
  <si>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</si>
  <si>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</si>
  <si>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</si>
  <si>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</si>
  <si>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</si>
  <si>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</si>
  <si>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</si>
  <si>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</si>
  <si>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</si>
  <si>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</si>
  <si>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</si>
  <si>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</si>
  <si>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</si>
  <si>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</si>
  <si>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</si>
  <si>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</si>
  <si>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</si>
  <si>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</si>
  <si>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</si>
  <si>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</si>
  <si>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</si>
  <si>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</si>
  <si>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</si>
  <si>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</si>
  <si>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</si>
  <si>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</si>
  <si>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</si>
  <si>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</si>
  <si>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</si>
  <si>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</si>
  <si>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</si>
  <si>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</si>
  <si>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</si>
  <si>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</si>
  <si>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</si>
  <si>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média (nm)</t>
  </si>
  <si>
    <r>
      <rPr>
        <rFont val="Calibri"/>
        <b/>
        <color theme="0"/>
        <sz val="11.0"/>
      </rPr>
      <t xml:space="preserve">Freundlich (15±2 </t>
    </r>
    <r>
      <rPr>
        <rFont val="Times New Roman"/>
        <b/>
        <color theme="0"/>
        <sz val="11.0"/>
      </rPr>
      <t>℃)</t>
    </r>
  </si>
  <si>
    <t>Freundlich (30±3 ℃)</t>
  </si>
  <si>
    <t>Freundlich (45±3 ℃)</t>
  </si>
  <si>
    <t>Log Ce</t>
  </si>
  <si>
    <t>Log Qe</t>
  </si>
  <si>
    <t>Y=0,0772x+0,0243</t>
  </si>
  <si>
    <t>ph 6</t>
  </si>
  <si>
    <t>C. Média Real</t>
  </si>
  <si>
    <t>Fibra da Vagem tratada com Base</t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</si>
  <si>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</si>
  <si>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</si>
  <si>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</si>
  <si>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</si>
  <si>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</si>
  <si>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</si>
  <si>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</si>
  <si>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</si>
  <si>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</si>
  <si>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</si>
  <si>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</si>
  <si>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</si>
  <si>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</si>
  <si>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</si>
  <si>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</si>
  <si>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</si>
  <si>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</si>
  <si>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</si>
  <si>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</si>
  <si>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</si>
  <si>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</si>
  <si>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</si>
  <si>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</si>
  <si>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</si>
  <si>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</si>
  <si>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</si>
  <si>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</si>
  <si>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Temkin (15±2 </t>
    </r>
    <r>
      <rPr>
        <rFont val="Times New Roman"/>
        <b/>
        <color theme="0"/>
        <sz val="11.0"/>
      </rPr>
      <t>℃)</t>
    </r>
  </si>
  <si>
    <t>Temkin (30±3 ℃)</t>
  </si>
  <si>
    <t>Temkin (45±3 ℃)</t>
  </si>
  <si>
    <t>Fibra da Vagem tratada com Ácido</t>
  </si>
  <si>
    <t>Ln Ce</t>
  </si>
  <si>
    <t>T (K)</t>
  </si>
  <si>
    <t>R</t>
  </si>
  <si>
    <t>Fibra da Vagem In Natura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</si>
  <si>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</si>
  <si>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</si>
  <si>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</si>
  <si>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</si>
  <si>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</si>
  <si>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</si>
  <si>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</si>
  <si>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</si>
  <si>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</si>
  <si>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</si>
  <si>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</si>
  <si>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</si>
  <si>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</si>
  <si>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</si>
  <si>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</si>
  <si>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</si>
  <si>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</si>
  <si>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</si>
  <si>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</si>
  <si>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</si>
  <si>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</si>
  <si>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</si>
  <si>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</si>
  <si>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</si>
  <si>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</si>
  <si>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</si>
  <si>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</si>
  <si>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Durbinin-Kaganer Radushkevich (15±2 </t>
    </r>
    <r>
      <rPr>
        <rFont val="Times New Roman"/>
        <b/>
        <color theme="0"/>
        <sz val="11.0"/>
      </rPr>
      <t>℃)</t>
    </r>
  </si>
  <si>
    <t>Durbinin-Kaganer Radushkevich (30±3 ℃)</t>
  </si>
  <si>
    <t>Durbinin-Kaganer Radushkevich (45±3 ℃)</t>
  </si>
  <si>
    <t>ε^2</t>
  </si>
  <si>
    <t>Ln Qe</t>
  </si>
  <si>
    <r>
      <rPr>
        <rFont val="Calibri"/>
        <b/>
        <color theme="1"/>
        <sz val="11.0"/>
      </rPr>
      <t xml:space="preserve">Henry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</si>
  <si>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Henry (30±3 ℃)</t>
  </si>
  <si>
    <t>Henry (45±3 ℃)</t>
  </si>
  <si>
    <t>1/Ce</t>
  </si>
  <si>
    <t>1/Qe</t>
  </si>
  <si>
    <t>Ki</t>
  </si>
  <si>
    <t>Kn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</si>
  <si>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</si>
  <si>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</si>
  <si>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</si>
  <si>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</si>
  <si>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</si>
  <si>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</si>
  <si>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</si>
  <si>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</si>
  <si>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</si>
  <si>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Kiselev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</si>
  <si>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Kiselev (30±3 ℃)</t>
  </si>
  <si>
    <t>Kiselev (45±3 ℃)</t>
  </si>
  <si>
    <t>θ</t>
  </si>
  <si>
    <t>1/θ</t>
  </si>
  <si>
    <t>1/Ce(1-θ)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</si>
  <si>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</si>
  <si>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</si>
  <si>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</si>
  <si>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</si>
  <si>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</si>
  <si>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</si>
  <si>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</si>
  <si>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</si>
  <si>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</si>
  <si>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</si>
  <si>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</si>
  <si>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</si>
  <si>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</si>
  <si>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</si>
  <si>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</si>
  <si>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</si>
  <si>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</si>
  <si>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</si>
  <si>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</si>
  <si>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</si>
  <si>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</si>
  <si>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</si>
  <si>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</si>
  <si>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</si>
  <si>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</si>
  <si>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</si>
  <si>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</si>
  <si>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Elovich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</si>
  <si>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Elovich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</si>
  <si>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Elovich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</si>
  <si>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ln Qe</t>
  </si>
  <si>
    <t>ln Qe/Ce</t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</si>
  <si>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</si>
  <si>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</si>
  <si>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</si>
  <si>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</si>
  <si>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</si>
  <si>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</si>
  <si>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</si>
  <si>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</si>
  <si>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</si>
  <si>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</si>
  <si>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</si>
  <si>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</si>
  <si>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</si>
  <si>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</si>
  <si>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</si>
  <si>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</si>
  <si>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</si>
  <si>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</si>
  <si>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</si>
  <si>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</si>
  <si>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</si>
  <si>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</si>
  <si>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</si>
  <si>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</si>
  <si>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</si>
  <si>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</si>
  <si>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</si>
  <si>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Flory-Huggins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</si>
  <si>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Flory-Huggins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</si>
  <si>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Flory-Huggins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</si>
  <si>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log (1-θ)</t>
  </si>
  <si>
    <t>log (θ/Ci)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</si>
  <si>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</si>
  <si>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</si>
  <si>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</si>
  <si>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</si>
  <si>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</si>
  <si>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</si>
  <si>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</si>
  <si>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</si>
  <si>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</si>
  <si>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</si>
  <si>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</si>
  <si>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</si>
  <si>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</si>
  <si>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</si>
  <si>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</si>
  <si>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</si>
  <si>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</si>
  <si>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</si>
  <si>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</si>
  <si>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</si>
  <si>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</si>
  <si>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</si>
  <si>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</si>
  <si>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</si>
  <si>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</si>
  <si>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</si>
  <si>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</si>
  <si>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Javanovic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</si>
  <si>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Javanovic (30±3 ℃)</t>
  </si>
  <si>
    <t>Javanovic (45±3 ℃)</t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</si>
  <si>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</si>
  <si>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</si>
  <si>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  <r>
      <rPr>
        <rFont val="Calibri"/>
        <b/>
        <color theme="1"/>
        <sz val="11.0"/>
      </rPr>
      <t xml:space="preserve"> (mg.g</t>
    </r>
    <r>
      <rPr>
        <rFont val="Calibri"/>
        <b/>
        <color theme="1"/>
        <sz val="11.0"/>
      </rPr>
      <t>¯¹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</si>
  <si>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</si>
  <si>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</si>
  <si>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  <r>
      <rPr>
        <rFont val="Calibri"/>
        <b/>
        <color theme="1"/>
        <sz val="11.0"/>
      </rPr>
      <t xml:space="preserve"> (L.mg¯¹)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</si>
  <si>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</si>
  <si>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</si>
  <si>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</si>
  <si>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</si>
  <si>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</si>
  <si>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</si>
  <si>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</si>
  <si>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</si>
  <si>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</si>
  <si>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</si>
  <si>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</si>
  <si>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</si>
  <si>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</si>
  <si>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</si>
  <si>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</si>
  <si>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</si>
  <si>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</si>
  <si>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</si>
  <si>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</si>
  <si>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</si>
  <si>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</si>
  <si>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</si>
  <si>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</si>
  <si>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</si>
  <si>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</si>
  <si>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</si>
  <si>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</si>
  <si>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</si>
  <si>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</si>
  <si>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</si>
  <si>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</si>
  <si>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</si>
  <si>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</si>
  <si>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</si>
  <si>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</si>
  <si>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</si>
  <si>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</si>
  <si>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</si>
  <si>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</si>
  <si>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</si>
  <si>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</si>
  <si>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</si>
  <si>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</si>
  <si>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</si>
  <si>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</si>
  <si>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</si>
  <si>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</si>
  <si>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</si>
  <si>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</si>
  <si>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</si>
  <si>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</si>
  <si>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</si>
  <si>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</si>
  <si>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</si>
  <si>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</si>
  <si>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</si>
  <si>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</si>
  <si>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</si>
  <si>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</si>
  <si>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</si>
  <si>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</si>
  <si>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</si>
  <si>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</si>
  <si>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</si>
  <si>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</si>
  <si>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</si>
  <si>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</si>
  <si>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</si>
  <si>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</si>
  <si>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</si>
  <si>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</si>
  <si>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</si>
  <si>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</si>
  <si>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</si>
  <si>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</si>
  <si>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</si>
  <si>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8.0"/>
      </rPr>
      <t>H–J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</si>
  <si>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</si>
  <si>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</si>
  <si>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</si>
  <si>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</si>
  <si>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</si>
  <si>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</si>
  <si>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</si>
  <si>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</si>
  <si>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</si>
  <si>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HJ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</si>
  <si>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</si>
  <si>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</si>
  <si>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</si>
  <si>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</si>
  <si>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</si>
  <si>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</si>
  <si>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</si>
  <si>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</si>
  <si>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</si>
  <si>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</si>
  <si>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</si>
  <si>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Aptos Narrow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</si>
  <si>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</si>
  <si>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</si>
  <si>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</si>
  <si>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</si>
  <si>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</si>
  <si>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</si>
  <si>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</si>
  <si>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</si>
  <si>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8.0"/>
      </rPr>
      <t>L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</si>
  <si>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</si>
  <si>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</si>
  <si>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</si>
  <si>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0"/>
        <sz val="11.0"/>
      </rPr>
      <t xml:space="preserve">Harkin-Jura (15±2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</si>
  <si>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</si>
  <si>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</si>
  <si>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</si>
  <si>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</si>
  <si>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</si>
  <si>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</si>
  <si>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0"/>
        <sz val="11.0"/>
      </rPr>
      <t xml:space="preserve">Harkin-Jura (30±3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</si>
  <si>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</si>
  <si>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</si>
  <si>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</si>
  <si>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Harkin-Jura (45±3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</si>
  <si>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t>log Ce</t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</si>
  <si>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</si>
  <si>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</si>
  <si>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</si>
  <si>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</si>
  <si>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</si>
  <si>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</si>
  <si>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</si>
  <si>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</si>
  <si>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</si>
  <si>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Langmuir (15±2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</si>
  <si>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0"/>
        <sz val="11.0"/>
      </rPr>
      <t xml:space="preserve">Langmuir (30±3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</si>
  <si>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0"/>
        <sz val="11.0"/>
      </rPr>
      <t xml:space="preserve">Langmuir (45±3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</si>
  <si>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1"/>
        <sz val="11.0"/>
      </rPr>
      <t xml:space="preserve">Hill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</si>
  <si>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</si>
  <si>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</si>
  <si>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</si>
  <si>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</si>
  <si>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</si>
  <si>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</si>
  <si>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</si>
  <si>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</si>
  <si>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</si>
  <si>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</si>
  <si>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</si>
  <si>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</si>
  <si>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</si>
  <si>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</si>
  <si>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</si>
  <si>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</si>
  <si>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</si>
  <si>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</si>
  <si>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</si>
  <si>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</si>
  <si>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</si>
  <si>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</si>
  <si>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</si>
  <si>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</si>
  <si>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</si>
  <si>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t>log Ci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</si>
  <si>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</si>
  <si>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log (Qe/1-Qe)</t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</si>
  <si>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</si>
  <si>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</si>
  <si>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</si>
  <si>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</si>
  <si>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</si>
  <si>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</si>
  <si>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</si>
  <si>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</si>
  <si>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</si>
  <si>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</si>
  <si>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f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</si>
  <si>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</si>
  <si>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Freundlich (15±2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</si>
  <si>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</si>
  <si>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t>β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</si>
  <si>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</si>
  <si>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</si>
  <si>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</si>
  <si>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</si>
  <si>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</si>
  <si>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</si>
  <si>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</si>
  <si>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</si>
  <si>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</si>
  <si>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</si>
  <si>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</si>
  <si>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</si>
  <si>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</si>
  <si>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</si>
  <si>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</si>
  <si>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</si>
  <si>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</si>
  <si>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t>Redlich Peterson (15±2 ℃)</t>
  </si>
  <si>
    <r>
      <rPr>
        <rFont val="Calibri"/>
        <b/>
        <color theme="0"/>
        <sz val="11.0"/>
      </rPr>
      <t xml:space="preserve">Redlich Peterson (30±3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</si>
  <si>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Redlich Peterson (45±3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</si>
  <si>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t>ln Ce</t>
  </si>
  <si>
    <t>ln (Ce/Qe)</t>
  </si>
  <si>
    <r>
      <rPr>
        <rFont val="Calibri"/>
        <b/>
        <color theme="1"/>
        <sz val="11.0"/>
      </rPr>
      <t xml:space="preserve">Hill-de Boer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</si>
  <si>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Hill-de Boer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</si>
  <si>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Hill-de Boer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</si>
  <si>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>ln Ce(1-θ)/θ-θ/1-θ</t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</si>
  <si>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</si>
  <si>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</si>
  <si>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</si>
  <si>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</si>
  <si>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</si>
  <si>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</si>
  <si>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</si>
  <si>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</si>
  <si>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</si>
  <si>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</si>
  <si>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</si>
  <si>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</si>
  <si>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</si>
  <si>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</si>
  <si>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</si>
  <si>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</si>
  <si>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</si>
  <si>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</si>
  <si>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</si>
  <si>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</si>
  <si>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</si>
  <si>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</si>
  <si>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</si>
  <si>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</si>
  <si>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T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</si>
  <si>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8.0"/>
      </rPr>
      <t>T</t>
    </r>
    <r>
      <rPr>
        <rFont val="Calibri"/>
        <b/>
        <color theme="1"/>
        <sz val="11.0"/>
      </rPr>
      <t xml:space="preserve"> (J.mol¯¹)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</si>
  <si>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</si>
  <si>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</si>
  <si>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t>W</t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</si>
  <si>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</si>
  <si>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</si>
  <si>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</si>
  <si>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</si>
  <si>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</si>
  <si>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</si>
  <si>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</si>
  <si>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</si>
  <si>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</si>
  <si>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</si>
  <si>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</si>
  <si>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</si>
  <si>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</si>
  <si>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</si>
  <si>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</si>
  <si>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</si>
  <si>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</si>
  <si>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Fowler-Guggenheim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</si>
  <si>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Fowler-Guggenheim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</si>
  <si>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Fowler-Guggenheim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</si>
  <si>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0"/>
        <sz val="11.0"/>
      </rPr>
      <t xml:space="preserve">Temkin (15±2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</si>
  <si>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</si>
  <si>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</si>
  <si>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</si>
  <si>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</si>
  <si>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</si>
  <si>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</si>
  <si>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</si>
  <si>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</si>
  <si>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</si>
  <si>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</si>
  <si>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</si>
  <si>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</si>
  <si>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</si>
  <si>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</si>
  <si>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</si>
  <si>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</si>
  <si>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</si>
  <si>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</si>
  <si>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</si>
  <si>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</si>
  <si>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</si>
  <si>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</si>
  <si>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</si>
  <si>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</si>
  <si>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</si>
  <si>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</si>
  <si>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</si>
  <si>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</si>
  <si>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</si>
  <si>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</si>
  <si>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</si>
  <si>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</si>
  <si>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</si>
  <si>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</si>
  <si>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</si>
  <si>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</si>
  <si>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</si>
  <si>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</si>
  <si>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</si>
  <si>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</si>
  <si>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</si>
  <si>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</si>
  <si>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</si>
  <si>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</si>
  <si>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</si>
  <si>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</si>
  <si>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</si>
  <si>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</si>
  <si>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</si>
  <si>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</si>
  <si>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</si>
  <si>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</si>
  <si>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</si>
  <si>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</si>
  <si>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</si>
  <si>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</si>
  <si>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</si>
  <si>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</si>
  <si>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</si>
  <si>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</si>
  <si>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Halsey (15±2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</si>
  <si>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d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</si>
  <si>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8.0"/>
      </rPr>
      <t>DKR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</si>
  <si>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</si>
  <si>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Halsey (30±2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</si>
  <si>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Halsey (45±2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</si>
  <si>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Durbinin-Kaganer Radushkevich (15±2 </t>
    </r>
    <r>
      <rPr>
        <rFont val="Times New Roman"/>
        <b/>
        <color theme="0"/>
        <sz val="11.0"/>
      </rPr>
      <t>℃)</t>
    </r>
  </si>
  <si>
    <r>
      <rPr>
        <rFont val="Calibri"/>
        <b/>
        <color theme="1"/>
        <sz val="11.0"/>
      </rPr>
      <t xml:space="preserve">Jossen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</si>
  <si>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Jossen (45±2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</si>
  <si>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Jossen (45±2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</si>
  <si>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t xml:space="preserve"> </t>
  </si>
  <si>
    <r>
      <rPr>
        <rFont val="Calibri"/>
        <b/>
        <color theme="1"/>
        <sz val="11.0"/>
      </rPr>
      <t xml:space="preserve">Henry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</si>
  <si>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</si>
  <si>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</si>
  <si>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</si>
  <si>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</si>
  <si>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</si>
  <si>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</si>
  <si>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</si>
  <si>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</si>
  <si>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</si>
  <si>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Kiselev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</si>
  <si>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</si>
  <si>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</si>
  <si>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</si>
  <si>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</si>
  <si>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</si>
  <si>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</si>
  <si>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</si>
  <si>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</si>
  <si>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</si>
  <si>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</si>
  <si>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</si>
  <si>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</si>
  <si>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</si>
  <si>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</si>
  <si>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</si>
  <si>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</si>
  <si>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</si>
  <si>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</si>
  <si>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</si>
  <si>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</si>
  <si>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</si>
  <si>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</si>
  <si>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</si>
  <si>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</si>
  <si>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</si>
  <si>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E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</si>
  <si>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</si>
  <si>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Elovich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</si>
  <si>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Elovich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</si>
  <si>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Elovich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</si>
  <si>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</si>
  <si>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</si>
  <si>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</si>
  <si>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</si>
  <si>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</si>
  <si>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</si>
  <si>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</si>
  <si>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</si>
  <si>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</si>
  <si>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</si>
  <si>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</si>
  <si>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</si>
  <si>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</si>
  <si>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</si>
  <si>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</si>
  <si>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</si>
  <si>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</si>
  <si>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</si>
  <si>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</si>
  <si>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</si>
  <si>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</si>
  <si>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</si>
  <si>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</si>
  <si>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</si>
  <si>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</si>
  <si>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</si>
  <si>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</si>
  <si>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Flory-Huggins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</si>
  <si>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Flory-Huggins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</si>
  <si>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Flory-Huggins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</si>
  <si>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</si>
  <si>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</si>
  <si>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</si>
  <si>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</si>
  <si>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</si>
  <si>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</si>
  <si>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</si>
  <si>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</si>
  <si>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</si>
  <si>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</si>
  <si>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</si>
  <si>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</si>
  <si>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</si>
  <si>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</si>
  <si>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</si>
  <si>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</si>
  <si>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</si>
  <si>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</si>
  <si>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</si>
  <si>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</si>
  <si>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</si>
  <si>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</si>
  <si>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</si>
  <si>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</si>
  <si>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Q</t>
    </r>
    <r>
      <rPr>
        <rFont val="Calibri"/>
        <b/>
        <color theme="1"/>
        <sz val="8.0"/>
      </rPr>
      <t>max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</si>
  <si>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</si>
  <si>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</si>
  <si>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Javanovic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</si>
  <si>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</si>
  <si>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</si>
  <si>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</si>
  <si>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</si>
  <si>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</si>
  <si>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</si>
  <si>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</si>
  <si>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</si>
  <si>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</si>
  <si>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</si>
  <si>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</si>
  <si>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</si>
  <si>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</si>
  <si>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</si>
  <si>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</si>
  <si>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</si>
  <si>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</si>
  <si>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</si>
  <si>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</si>
  <si>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</si>
  <si>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</si>
  <si>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</si>
  <si>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</si>
  <si>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</si>
  <si>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</si>
  <si>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</si>
  <si>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</si>
  <si>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</si>
  <si>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</si>
  <si>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</si>
  <si>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</si>
  <si>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</si>
  <si>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1/A</t>
    </r>
    <r>
      <rPr>
        <rFont val="Calibri"/>
        <b/>
        <color theme="1"/>
        <sz val="9.0"/>
      </rPr>
      <t>H–J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</si>
  <si>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</si>
  <si>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B</t>
    </r>
    <r>
      <rPr>
        <rFont val="Calibri"/>
        <b/>
        <color theme="1"/>
        <sz val="9.0"/>
      </rPr>
      <t>HJ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</si>
  <si>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</si>
  <si>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Harkin-Jura (15±2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</si>
  <si>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Harkin-Jura (30±3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</si>
  <si>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Harkin-Jura (45±3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</si>
  <si>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</si>
  <si>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</si>
  <si>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</si>
  <si>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</si>
  <si>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</si>
  <si>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</si>
  <si>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</si>
  <si>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</si>
  <si>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1/Qe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</si>
  <si>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Hill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</si>
  <si>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</si>
  <si>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</si>
  <si>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</si>
  <si>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</si>
  <si>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</si>
  <si>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</si>
  <si>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</si>
  <si>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</si>
  <si>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</si>
  <si>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</si>
  <si>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</si>
  <si>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</si>
  <si>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</si>
  <si>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</si>
  <si>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</si>
  <si>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</si>
  <si>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</si>
  <si>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</si>
  <si>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A</t>
    </r>
    <r>
      <rPr>
        <rFont val="Calibri"/>
        <b/>
        <color theme="1"/>
        <sz val="9.0"/>
      </rPr>
      <t>R-P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</si>
  <si>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</si>
  <si>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Redlich Peterson (30±3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</si>
  <si>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Redlich Peterson (45±3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</si>
  <si>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 xml:space="preserve">Hill-de Boer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</si>
  <si>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Hill-de Boer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</si>
  <si>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Hill-de Boer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</si>
  <si>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</si>
  <si>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</si>
  <si>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</si>
  <si>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</si>
  <si>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</si>
  <si>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</si>
  <si>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</si>
  <si>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</si>
  <si>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</si>
  <si>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</si>
  <si>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</si>
  <si>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</si>
  <si>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</si>
  <si>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</si>
  <si>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</si>
  <si>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</si>
  <si>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9.0"/>
      </rPr>
      <t>FG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</si>
  <si>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</si>
  <si>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 xml:space="preserve">Fowler-Guggenheim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</si>
  <si>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Fowler-Guggenheim (30±3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</si>
  <si>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Fowler-Guggenheim (45±3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</si>
  <si>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</si>
  <si>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</si>
  <si>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</si>
  <si>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</si>
  <si>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</si>
  <si>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</si>
  <si>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</si>
  <si>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</si>
  <si>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</si>
  <si>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</si>
  <si>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</si>
  <si>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</si>
  <si>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</si>
  <si>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</si>
  <si>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</si>
  <si>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</si>
  <si>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</si>
  <si>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</si>
  <si>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</si>
  <si>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</si>
  <si>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</si>
  <si>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</si>
  <si>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</si>
  <si>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</si>
  <si>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</si>
  <si>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</si>
  <si>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</si>
  <si>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</si>
  <si>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</si>
  <si>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</si>
  <si>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</si>
  <si>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</si>
  <si>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1"/>
        <sz val="11.0"/>
      </rPr>
      <t>1/n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</si>
  <si>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n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</si>
  <si>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K</t>
    </r>
    <r>
      <rPr>
        <rFont val="Calibri"/>
        <b/>
        <color theme="1"/>
        <sz val="8.0"/>
      </rPr>
      <t>H</t>
    </r>
  </si>
  <si>
    <r>
      <rPr>
        <rFont val="Calibri"/>
        <b/>
        <color theme="1"/>
        <sz val="11.0"/>
      </rPr>
      <t>R</t>
    </r>
    <r>
      <rPr>
        <rFont val="Calibri"/>
        <b/>
        <color theme="1"/>
        <sz val="11.0"/>
      </rPr>
      <t>²</t>
    </r>
  </si>
  <si>
    <r>
      <rPr>
        <rFont val="Calibri"/>
        <b/>
        <color theme="0"/>
        <sz val="11.0"/>
      </rPr>
      <t xml:space="preserve">Halsey (15±2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</si>
  <si>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Halsey (30±2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</si>
  <si>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 xml:space="preserve">Halsey (45±2 </t>
    </r>
    <r>
      <rPr>
        <rFont val="Times New Roman"/>
        <b/>
        <color theme="0"/>
        <sz val="11.0"/>
      </rPr>
      <t>℃</t>
    </r>
    <r>
      <rPr>
        <rFont val="Calibri"/>
        <b/>
        <color theme="0"/>
        <sz val="11.0"/>
      </rPr>
      <t>)</t>
    </r>
  </si>
  <si>
    <r>
      <rPr>
        <rFont val="Calibri"/>
        <b/>
        <color theme="1"/>
        <sz val="11.0"/>
      </rPr>
      <t xml:space="preserve">Jossen (15±2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</si>
  <si>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Jossen (45±2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</si>
  <si>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 xml:space="preserve">Jossen (45±2 </t>
    </r>
    <r>
      <rPr>
        <rFont val="Times New Roman"/>
        <b/>
        <color theme="1"/>
        <sz val="11.0"/>
      </rPr>
      <t>℃</t>
    </r>
    <r>
      <rPr>
        <rFont val="Calibri"/>
        <b/>
        <color theme="1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</si>
</sst>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0.0000"/>
    <numFmt numFmtId="166" formatCode="0.0"/>
    <numFmt numFmtId="167" formatCode="0.000000"/>
    <numFmt numFmtId="168" formatCode="0.0000000000"/>
    <numFmt numFmtId="169" formatCode="0.00000000"/>
    <numFmt numFmtId="170" formatCode="0.0000000000000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4.0"/>
      <color theme="1"/>
      <name val="Calibri"/>
    </font>
    <font>
      <sz val="14.0"/>
      <color rgb="FFFF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sz val="11.0"/>
      <color rgb="FFFF0000"/>
      <name val="Calibri"/>
    </font>
    <font>
      <b/>
      <sz val="12.0"/>
      <color rgb="FFFF0000"/>
      <name val="Calibri"/>
    </font>
    <font>
      <b/>
      <sz val="11.0"/>
      <color rgb="FFFF0000"/>
      <name val="Calibri"/>
    </font>
    <font>
      <b/>
      <sz val="18.0"/>
      <color theme="1"/>
      <name val="Calibri"/>
    </font>
    <font>
      <b/>
      <sz val="11.0"/>
      <color theme="0"/>
      <name val="Calibri"/>
    </font>
    <font>
      <b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1E4E79"/>
        <bgColor rgb="FF1E4E79"/>
      </patternFill>
    </fill>
    <fill>
      <patternFill patternType="solid">
        <fgColor rgb="FF385623"/>
        <bgColor rgb="FF385623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</fills>
  <borders count="1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dotted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bottom style="dotted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/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/>
    </xf>
    <xf borderId="6" fillId="0" fontId="5" numFmtId="0" xfId="0" applyBorder="1" applyFont="1"/>
    <xf borderId="6" fillId="3" fontId="2" numFmtId="2" xfId="0" applyAlignment="1" applyBorder="1" applyFill="1" applyFont="1" applyNumberFormat="1">
      <alignment horizontal="center" vertical="center"/>
    </xf>
    <xf borderId="6" fillId="0" fontId="2" numFmtId="0" xfId="0" applyBorder="1" applyFont="1"/>
    <xf borderId="6" fillId="4" fontId="6" numFmtId="0" xfId="0" applyAlignment="1" applyBorder="1" applyFill="1" applyFont="1">
      <alignment horizontal="center"/>
    </xf>
    <xf borderId="4" fillId="4" fontId="6" numFmtId="0" xfId="0" applyAlignment="1" applyBorder="1" applyFill="1" applyFont="1">
      <alignment horizontal="center"/>
    </xf>
    <xf borderId="6" fillId="4" fontId="6" numFmtId="0" xfId="0" applyBorder="1" applyFill="1" applyFont="1"/>
    <xf borderId="7" fillId="5" fontId="2" numFmtId="0" xfId="0" applyAlignment="1" applyBorder="1" applyFill="1" applyFont="1">
      <alignment horizontal="center"/>
    </xf>
    <xf borderId="6" fillId="0" fontId="2" numFmtId="164" xfId="0" applyAlignment="1" applyBorder="1" applyFont="1" applyNumberFormat="1">
      <alignment horizontal="center" vertical="center"/>
    </xf>
    <xf borderId="7" fillId="5" fontId="7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/>
    </xf>
    <xf borderId="7" fillId="5" fontId="2" numFmtId="2" xfId="0" applyAlignment="1" applyBorder="1" applyFill="1" applyFont="1" applyNumberFormat="1">
      <alignment horizontal="center"/>
    </xf>
    <xf borderId="4" fillId="2" fontId="8" numFmtId="0" xfId="0" applyAlignment="1" applyBorder="1" applyFill="1" applyFont="1">
      <alignment horizontal="center"/>
    </xf>
    <xf borderId="8" fillId="0" fontId="3" numFmtId="0" xfId="0" applyBorder="1" applyFont="1"/>
    <xf borderId="6" fillId="0" fontId="8" numFmtId="0" xfId="0" applyBorder="1" applyFont="1"/>
    <xf borderId="6" fillId="4" fontId="2" numFmtId="0" xfId="0" applyBorder="1" applyFill="1" applyFont="1"/>
    <xf borderId="8" fillId="0" fontId="2" numFmtId="0" xfId="0" applyAlignment="1" applyBorder="1" applyFont="1">
      <alignment horizontal="center" vertical="center"/>
    </xf>
    <xf borderId="6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6" fillId="0" fontId="2" numFmtId="2" xfId="0" applyAlignment="1" applyBorder="1" applyFont="1" applyNumberFormat="1">
      <alignment horizontal="center"/>
    </xf>
    <xf borderId="9" fillId="3" fontId="2" numFmtId="0" xfId="0" applyAlignment="1" applyBorder="1" applyFill="1" applyFon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1" fillId="3" fontId="2" numFmtId="0" xfId="0" applyAlignment="1" applyBorder="1" applyFill="1" applyFont="1">
      <alignment horizontal="center" vertical="center"/>
    </xf>
    <xf borderId="12" fillId="3" fontId="2" numFmtId="0" xfId="0" applyAlignment="1" applyBorder="1" applyFill="1" applyFont="1">
      <alignment horizontal="center" vertical="center"/>
    </xf>
    <xf borderId="13" fillId="2" fontId="2" numFmtId="0" xfId="0" applyAlignment="1" applyBorder="1" applyFill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6" fillId="5" fontId="2" numFmtId="0" xfId="0" applyAlignment="1" applyBorder="1" applyFill="1" applyFon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6" fillId="4" fontId="7" numFmtId="0" xfId="0" applyAlignment="1" applyBorder="1" applyFill="1" applyFont="1">
      <alignment horizontal="center"/>
    </xf>
    <xf borderId="4" fillId="6" fontId="6" numFmtId="0" xfId="0" applyAlignment="1" applyBorder="1" applyFill="1" applyFont="1">
      <alignment horizontal="center"/>
    </xf>
    <xf borderId="6" fillId="0" fontId="10" numFmtId="0" xfId="0" applyBorder="1" applyFont="1"/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3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/>
    </xf>
    <xf borderId="6" fillId="4" fontId="2" numFmtId="0" xfId="0" applyAlignment="1" applyBorder="1" applyFill="1" applyFont="1">
      <alignment horizontal="center" vertical="center"/>
    </xf>
    <xf borderId="6" fillId="3" fontId="11" numFmtId="2" xfId="0" applyAlignment="1" applyBorder="1" applyFill="1" applyFont="1" applyNumberFormat="1">
      <alignment horizontal="center" vertical="center"/>
    </xf>
    <xf borderId="6" fillId="4" fontId="2" numFmtId="164" xfId="0" applyAlignment="1" applyBorder="1" applyFill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2" xfId="0" applyAlignment="1" applyBorder="1" applyFont="1" applyNumberFormat="1">
      <alignment horizontal="center" vertical="center"/>
    </xf>
    <xf borderId="6" fillId="0" fontId="11" numFmtId="164" xfId="0" applyAlignment="1" applyBorder="1" applyFont="1" applyNumberFormat="1">
      <alignment horizontal="center" vertical="center"/>
    </xf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/>
    </xf>
    <xf borderId="6" fillId="4" fontId="2" numFmtId="0" xfId="0" applyAlignment="1" applyBorder="1" applyFill="1" applyFont="1">
      <alignment horizontal="center"/>
    </xf>
    <xf borderId="6" fillId="7" fontId="12" numFmtId="0" xfId="0" applyAlignment="1" applyBorder="1" applyFill="1" applyFont="1">
      <alignment horizontal="center"/>
    </xf>
    <xf borderId="0" fillId="0" fontId="2" numFmtId="2" xfId="0" applyAlignment="1" applyFont="1" applyNumberFormat="1">
      <alignment horizontal="center"/>
    </xf>
    <xf borderId="6" fillId="3" fontId="2" numFmtId="166" xfId="0" applyAlignment="1" applyBorder="1" applyFill="1" applyFont="1" applyNumberFormat="1">
      <alignment horizontal="center" vertical="center"/>
    </xf>
    <xf borderId="16" fillId="6" fontId="6" numFmtId="0" xfId="0" applyAlignment="1" applyBorder="1" applyFill="1" applyFont="1">
      <alignment horizontal="center"/>
    </xf>
    <xf borderId="4" fillId="0" fontId="7" numFmtId="164" xfId="0" applyAlignment="1" applyBorder="1" applyFont="1" applyNumberFormat="1">
      <alignment horizontal="center" vertical="center"/>
    </xf>
    <xf borderId="6" fillId="6" fontId="6" numFmtId="0" xfId="0" applyAlignment="1" applyBorder="1" applyFill="1" applyFont="1">
      <alignment horizontal="center"/>
    </xf>
    <xf borderId="6" fillId="3" fontId="11" numFmtId="166" xfId="0" applyAlignment="1" applyBorder="1" applyFill="1" applyFont="1" applyNumberFormat="1">
      <alignment horizontal="center" vertical="center"/>
    </xf>
    <xf borderId="17" fillId="8" fontId="2" numFmtId="2" xfId="0" applyAlignment="1" applyBorder="1" applyFill="1" applyFont="1" applyNumberFormat="1">
      <alignment horizontal="center" vertical="center"/>
    </xf>
    <xf borderId="6" fillId="8" fontId="2" numFmtId="2" xfId="0" applyAlignment="1" applyBorder="1" applyFill="1" applyFont="1" applyNumberFormat="1">
      <alignment horizontal="center" vertical="center"/>
    </xf>
    <xf borderId="18" fillId="8" fontId="2" numFmtId="2" xfId="0" applyAlignment="1" applyBorder="1" applyFill="1" applyFont="1" applyNumberFormat="1">
      <alignment horizontal="center" vertical="center"/>
    </xf>
    <xf borderId="19" fillId="5" fontId="7" numFmtId="0" xfId="0" applyAlignment="1" applyBorder="1" applyFill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5" fontId="7" numFmtId="0" xfId="0" applyAlignment="1" applyBorder="1" applyFill="1" applyFont="1">
      <alignment vertical="center"/>
    </xf>
    <xf borderId="23" fillId="5" fontId="2" numFmtId="0" xfId="0" applyAlignment="1" applyBorder="1" applyFill="1" applyFont="1">
      <alignment horizontal="center"/>
    </xf>
    <xf borderId="24" fillId="5" fontId="2" numFmtId="0" xfId="0" applyAlignment="1" applyBorder="1" applyFill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5" fontId="7" numFmtId="0" xfId="0" applyAlignment="1" applyBorder="1" applyFill="1" applyFont="1">
      <alignment vertical="center"/>
    </xf>
    <xf borderId="29" fillId="5" fontId="2" numFmtId="0" xfId="0" applyAlignment="1" applyBorder="1" applyFill="1" applyFont="1">
      <alignment horizontal="center"/>
    </xf>
    <xf borderId="30" fillId="5" fontId="2" numFmtId="0" xfId="0" applyAlignment="1" applyBorder="1" applyFill="1" applyFont="1">
      <alignment horizontal="center"/>
    </xf>
    <xf borderId="31" fillId="5" fontId="7" numFmtId="0" xfId="0" applyAlignment="1" applyBorder="1" applyFill="1" applyFont="1">
      <alignment vertical="center"/>
    </xf>
    <xf borderId="32" fillId="5" fontId="7" numFmtId="0" xfId="0" applyAlignment="1" applyBorder="1" applyFill="1" applyFont="1">
      <alignment vertical="center"/>
    </xf>
    <xf borderId="32" fillId="5" fontId="7" numFmtId="0" xfId="0" applyAlignment="1" applyBorder="1" applyFill="1" applyFont="1">
      <alignment horizontal="center" vertical="center"/>
    </xf>
    <xf borderId="33" fillId="5" fontId="7" numFmtId="0" xfId="0" applyAlignment="1" applyBorder="1" applyFill="1" applyFont="1">
      <alignment horizontal="center"/>
    </xf>
    <xf borderId="34" fillId="9" fontId="13" numFmtId="0" xfId="0" applyAlignment="1" applyBorder="1" applyFill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37" fillId="5" fontId="7" numFmtId="0" xfId="0" applyAlignment="1" applyBorder="1" applyFill="1" applyFont="1">
      <alignment horizontal="center"/>
    </xf>
    <xf borderId="38" fillId="5" fontId="2" numFmtId="0" xfId="0" applyAlignment="1" applyBorder="1" applyFill="1" applyFont="1">
      <alignment horizontal="center"/>
    </xf>
    <xf borderId="33" fillId="5" fontId="2" numFmtId="0" xfId="0" applyAlignment="1" applyBorder="1" applyFill="1" applyFont="1">
      <alignment horizontal="center"/>
    </xf>
    <xf borderId="39" fillId="2" fontId="7" numFmtId="0" xfId="0" applyAlignment="1" applyBorder="1" applyFill="1" applyFont="1">
      <alignment horizontal="left"/>
    </xf>
    <xf borderId="40" fillId="2" fontId="7" numFmtId="0" xfId="0" applyAlignment="1" applyBorder="1" applyFill="1" applyFont="1">
      <alignment horizontal="center" vertical="center"/>
    </xf>
    <xf borderId="41" fillId="2" fontId="7" numFmtId="0" xfId="0" applyAlignment="1" applyBorder="1" applyFill="1" applyFont="1">
      <alignment horizontal="center" vertical="center"/>
    </xf>
    <xf borderId="42" fillId="2" fontId="7" numFmtId="0" xfId="0" applyAlignment="1" applyBorder="1" applyFill="1" applyFont="1">
      <alignment horizontal="center" vertical="center"/>
    </xf>
    <xf borderId="37" fillId="5" fontId="2" numFmtId="0" xfId="0" applyAlignment="1" applyBorder="1" applyFill="1" applyFont="1">
      <alignment horizontal="center"/>
    </xf>
    <xf borderId="43" fillId="0" fontId="7" numFmtId="0" xfId="0" applyAlignment="1" applyBorder="1" applyFont="1">
      <alignment horizontal="left" vertical="center"/>
    </xf>
    <xf borderId="6" fillId="0" fontId="2" numFmtId="165" xfId="0" applyAlignment="1" applyBorder="1" applyFont="1" applyNumberFormat="1">
      <alignment horizontal="center"/>
    </xf>
    <xf borderId="44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45" fillId="0" fontId="2" numFmtId="165" xfId="0" applyAlignment="1" applyBorder="1" applyFont="1" applyNumberFormat="1">
      <alignment horizontal="center"/>
    </xf>
    <xf borderId="7" fillId="5" fontId="7" numFmtId="0" xfId="0" applyBorder="1" applyFill="1" applyFont="1"/>
    <xf borderId="8" fillId="0" fontId="2" numFmtId="165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4" fillId="0" fontId="2" numFmtId="164" xfId="0" applyAlignment="1" applyBorder="1" applyFont="1" applyNumberFormat="1">
      <alignment horizontal="center"/>
    </xf>
    <xf borderId="46" fillId="0" fontId="7" numFmtId="0" xfId="0" applyAlignment="1" applyBorder="1" applyFont="1">
      <alignment horizontal="left" vertical="center"/>
    </xf>
    <xf borderId="47" fillId="0" fontId="2" numFmtId="165" xfId="0" applyAlignment="1" applyBorder="1" applyFont="1" applyNumberFormat="1">
      <alignment horizontal="center" vertical="center"/>
    </xf>
    <xf borderId="47" fillId="0" fontId="2" numFmtId="165" xfId="0" applyAlignment="1" applyBorder="1" applyFont="1" applyNumberFormat="1">
      <alignment horizontal="center"/>
    </xf>
    <xf borderId="48" fillId="0" fontId="2" numFmtId="165" xfId="0" applyAlignment="1" applyBorder="1" applyFont="1" applyNumberFormat="1">
      <alignment horizontal="center"/>
    </xf>
    <xf borderId="49" fillId="0" fontId="2" numFmtId="165" xfId="0" applyAlignment="1" applyBorder="1" applyFont="1" applyNumberFormat="1">
      <alignment horizontal="center"/>
    </xf>
    <xf borderId="28" fillId="5" fontId="2" numFmtId="0" xfId="0" applyAlignment="1" applyBorder="1" applyFill="1" applyFont="1">
      <alignment horizontal="center"/>
    </xf>
    <xf borderId="22" fillId="5" fontId="2" numFmtId="0" xfId="0" applyAlignment="1" applyBorder="1" applyFill="1" applyFont="1">
      <alignment horizontal="center"/>
    </xf>
    <xf borderId="17" fillId="0" fontId="7" numFmtId="0" xfId="0" applyAlignment="1" applyBorder="1" applyFont="1">
      <alignment horizontal="left" vertical="center"/>
    </xf>
    <xf borderId="18" fillId="0" fontId="7" numFmtId="0" xfId="0" applyAlignment="1" applyBorder="1" applyFont="1">
      <alignment horizontal="left" vertical="center"/>
    </xf>
    <xf borderId="6" fillId="0" fontId="2" numFmtId="11" xfId="0" applyAlignment="1" applyBorder="1" applyFont="1" applyNumberFormat="1">
      <alignment horizontal="center"/>
    </xf>
    <xf borderId="44" fillId="0" fontId="2" numFmtId="11" xfId="0" applyAlignment="1" applyBorder="1" applyFont="1" applyNumberFormat="1">
      <alignment horizontal="center"/>
    </xf>
    <xf borderId="50" fillId="2" fontId="7" numFmtId="0" xfId="0" applyAlignment="1" applyBorder="1" applyFill="1" applyFont="1">
      <alignment horizontal="left"/>
    </xf>
    <xf borderId="6" fillId="2" fontId="7" numFmtId="0" xfId="0" applyAlignment="1" applyBorder="1" applyFill="1" applyFont="1">
      <alignment horizontal="center" vertical="center"/>
    </xf>
    <xf borderId="51" fillId="2" fontId="7" numFmtId="0" xfId="0" applyAlignment="1" applyBorder="1" applyFill="1" applyFont="1">
      <alignment horizontal="center" vertical="center"/>
    </xf>
    <xf borderId="52" fillId="0" fontId="7" numFmtId="0" xfId="0" applyBorder="1" applyFont="1"/>
    <xf borderId="44" fillId="0" fontId="2" numFmtId="165" xfId="0" applyAlignment="1" applyBorder="1" applyFont="1" applyNumberFormat="1">
      <alignment horizontal="center" vertical="center"/>
    </xf>
    <xf borderId="5" fillId="0" fontId="2" numFmtId="165" xfId="0" applyAlignment="1" applyBorder="1" applyFont="1" applyNumberFormat="1">
      <alignment horizontal="center" vertical="center"/>
    </xf>
    <xf borderId="48" fillId="0" fontId="2" numFmtId="165" xfId="0" applyAlignment="1" applyBorder="1" applyFont="1" applyNumberFormat="1">
      <alignment horizontal="center" vertical="center"/>
    </xf>
    <xf borderId="53" fillId="0" fontId="2" numFmtId="165" xfId="0" applyAlignment="1" applyBorder="1" applyFont="1" applyNumberFormat="1">
      <alignment horizontal="center" vertical="center"/>
    </xf>
    <xf borderId="6" fillId="0" fontId="2" numFmtId="11" xfId="0" applyAlignment="1" applyBorder="1" applyFont="1" applyNumberFormat="1">
      <alignment horizontal="center" vertical="center"/>
    </xf>
    <xf borderId="44" fillId="0" fontId="2" numFmtId="11" xfId="0" applyAlignment="1" applyBorder="1" applyFont="1" applyNumberFormat="1">
      <alignment horizontal="center" vertical="center"/>
    </xf>
    <xf borderId="54" fillId="5" fontId="2" numFmtId="0" xfId="0" applyAlignment="1" applyBorder="1" applyFill="1" applyFont="1">
      <alignment horizontal="center"/>
    </xf>
    <xf borderId="55" fillId="5" fontId="2" numFmtId="0" xfId="0" applyAlignment="1" applyBorder="1" applyFill="1" applyFont="1">
      <alignment horizontal="center"/>
    </xf>
    <xf borderId="56" fillId="0" fontId="2" numFmtId="0" xfId="0" applyBorder="1" applyFont="1"/>
    <xf borderId="57" fillId="10" fontId="13" numFmtId="0" xfId="0" applyAlignment="1" applyBorder="1" applyFill="1" applyFont="1">
      <alignment horizontal="center"/>
    </xf>
    <xf borderId="58" fillId="0" fontId="7" numFmtId="0" xfId="0" applyAlignment="1" applyBorder="1" applyFont="1">
      <alignment horizontal="center" vertical="center"/>
    </xf>
    <xf borderId="59" fillId="0" fontId="7" numFmtId="0" xfId="0" applyAlignment="1" applyBorder="1" applyFont="1">
      <alignment horizontal="center"/>
    </xf>
    <xf borderId="60" fillId="0" fontId="3" numFmtId="0" xfId="0" applyBorder="1" applyFont="1"/>
    <xf borderId="6" fillId="0" fontId="7" numFmtId="0" xfId="0" applyAlignment="1" applyBorder="1" applyFont="1">
      <alignment horizontal="center"/>
    </xf>
    <xf borderId="61" fillId="11" fontId="2" numFmtId="0" xfId="0" applyAlignment="1" applyBorder="1" applyFill="1" applyFont="1">
      <alignment horizontal="center"/>
    </xf>
    <xf borderId="6" fillId="5" fontId="2" numFmtId="2" xfId="0" applyAlignment="1" applyBorder="1" applyFill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6" fillId="11" fontId="2" numFmtId="0" xfId="0" applyAlignment="1" applyBorder="1" applyFill="1" applyFont="1">
      <alignment horizontal="center"/>
    </xf>
    <xf borderId="58" fillId="0" fontId="2" numFmtId="0" xfId="0" applyAlignment="1" applyBorder="1" applyFont="1">
      <alignment horizontal="center" vertical="center"/>
    </xf>
    <xf borderId="7" fillId="10" fontId="2" numFmtId="0" xfId="0" applyBorder="1" applyFill="1" applyFont="1"/>
    <xf borderId="4" fillId="10" fontId="13" numFmtId="0" xfId="0" applyAlignment="1" applyBorder="1" applyFill="1" applyFont="1">
      <alignment horizontal="center"/>
    </xf>
    <xf borderId="62" fillId="0" fontId="7" numFmtId="0" xfId="0" applyAlignment="1" applyBorder="1" applyFont="1">
      <alignment horizontal="center" vertical="center"/>
    </xf>
    <xf borderId="0" fillId="0" fontId="7" numFmtId="0" xfId="0" applyFont="1"/>
    <xf borderId="63" fillId="0" fontId="3" numFmtId="0" xfId="0" applyBorder="1" applyFont="1"/>
    <xf borderId="6" fillId="5" fontId="2" numFmtId="164" xfId="0" applyAlignment="1" applyBorder="1" applyFill="1" applyFont="1" applyNumberFormat="1">
      <alignment horizontal="center"/>
    </xf>
    <xf borderId="62" fillId="0" fontId="2" numFmtId="0" xfId="0" applyAlignment="1" applyBorder="1" applyFont="1">
      <alignment horizontal="center" vertical="center"/>
    </xf>
    <xf borderId="17" fillId="0" fontId="2" numFmtId="2" xfId="0" applyAlignment="1" applyBorder="1" applyFont="1" applyNumberFormat="1">
      <alignment horizontal="center" vertical="center"/>
    </xf>
    <xf borderId="18" fillId="3" fontId="2" numFmtId="2" xfId="0" applyAlignment="1" applyBorder="1" applyFill="1" applyFont="1" applyNumberFormat="1">
      <alignment horizontal="center" vertical="center"/>
    </xf>
    <xf borderId="47" fillId="3" fontId="2" numFmtId="2" xfId="0" applyAlignment="1" applyBorder="1" applyFill="1" applyFont="1" applyNumberFormat="1">
      <alignment horizontal="center" vertical="center"/>
    </xf>
    <xf borderId="6" fillId="4" fontId="2" numFmtId="2" xfId="0" applyAlignment="1" applyBorder="1" applyFill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6" fillId="0" fontId="9" numFmtId="2" xfId="0" applyAlignment="1" applyBorder="1" applyFont="1" applyNumberFormat="1">
      <alignment horizontal="center" vertical="center"/>
    </xf>
    <xf borderId="6" fillId="0" fontId="2" numFmtId="2" xfId="0" applyBorder="1" applyFont="1" applyNumberFormat="1"/>
    <xf borderId="64" fillId="0" fontId="7" numFmtId="0" xfId="0" applyAlignment="1" applyBorder="1" applyFont="1">
      <alignment horizontal="center"/>
    </xf>
    <xf borderId="65" fillId="0" fontId="7" numFmtId="0" xfId="0" applyAlignment="1" applyBorder="1" applyFont="1">
      <alignment horizontal="center"/>
    </xf>
    <xf borderId="66" fillId="0" fontId="7" numFmtId="0" xfId="0" applyAlignment="1" applyBorder="1" applyFont="1">
      <alignment horizontal="center"/>
    </xf>
    <xf borderId="64" fillId="0" fontId="7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39" fillId="0" fontId="2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67" fillId="0" fontId="2" numFmtId="165" xfId="0" applyAlignment="1" applyBorder="1" applyFont="1" applyNumberFormat="1">
      <alignment horizontal="center"/>
    </xf>
    <xf borderId="68" fillId="0" fontId="2" numFmtId="165" xfId="0" applyAlignment="1" applyBorder="1" applyFont="1" applyNumberFormat="1">
      <alignment horizontal="center"/>
    </xf>
    <xf borderId="67" fillId="7" fontId="9" numFmtId="165" xfId="0" applyAlignment="1" applyBorder="1" applyFill="1" applyFont="1" applyNumberFormat="1">
      <alignment horizontal="center"/>
    </xf>
    <xf borderId="68" fillId="7" fontId="9" numFmtId="165" xfId="0" applyAlignment="1" applyBorder="1" applyFill="1" applyFont="1" applyNumberFormat="1">
      <alignment horizontal="center"/>
    </xf>
    <xf borderId="67" fillId="0" fontId="2" numFmtId="165" xfId="0" applyAlignment="1" applyBorder="1" applyFont="1" applyNumberFormat="1">
      <alignment horizontal="center" vertical="center"/>
    </xf>
    <xf borderId="69" fillId="0" fontId="2" numFmtId="165" xfId="0" applyAlignment="1" applyBorder="1" applyFont="1" applyNumberFormat="1">
      <alignment horizontal="center"/>
    </xf>
    <xf borderId="18" fillId="3" fontId="2" numFmtId="165" xfId="0" applyAlignment="1" applyBorder="1" applyFill="1" applyFont="1" applyNumberFormat="1">
      <alignment horizontal="center"/>
    </xf>
    <xf borderId="47" fillId="3" fontId="2" numFmtId="165" xfId="0" applyAlignment="1" applyBorder="1" applyFill="1" applyFont="1" applyNumberFormat="1">
      <alignment horizontal="center"/>
    </xf>
    <xf borderId="48" fillId="3" fontId="2" numFmtId="165" xfId="0" applyAlignment="1" applyBorder="1" applyFill="1" applyFont="1" applyNumberFormat="1">
      <alignment horizontal="center"/>
    </xf>
    <xf borderId="18" fillId="7" fontId="2" numFmtId="165" xfId="0" applyAlignment="1" applyBorder="1" applyFill="1" applyFont="1" applyNumberFormat="1">
      <alignment horizontal="center"/>
    </xf>
    <xf borderId="47" fillId="7" fontId="2" numFmtId="165" xfId="0" applyAlignment="1" applyBorder="1" applyFill="1" applyFont="1" applyNumberFormat="1">
      <alignment horizontal="center"/>
    </xf>
    <xf borderId="48" fillId="7" fontId="2" numFmtId="165" xfId="0" applyAlignment="1" applyBorder="1" applyFill="1" applyFont="1" applyNumberFormat="1">
      <alignment horizontal="center"/>
    </xf>
    <xf borderId="18" fillId="7" fontId="2" numFmtId="165" xfId="0" applyAlignment="1" applyBorder="1" applyFill="1" applyFont="1" applyNumberFormat="1">
      <alignment horizontal="center" vertical="center"/>
    </xf>
    <xf borderId="47" fillId="7" fontId="2" numFmtId="165" xfId="0" applyAlignment="1" applyBorder="1" applyFill="1" applyFont="1" applyNumberFormat="1">
      <alignment horizontal="center" vertical="center"/>
    </xf>
    <xf borderId="18" fillId="3" fontId="2" numFmtId="165" xfId="0" applyAlignment="1" applyBorder="1" applyFill="1" applyFont="1" applyNumberFormat="1">
      <alignment horizontal="center" vertical="center"/>
    </xf>
    <xf borderId="47" fillId="3" fontId="2" numFmtId="165" xfId="0" applyAlignment="1" applyBorder="1" applyFill="1" applyFont="1" applyNumberFormat="1">
      <alignment horizontal="center" vertical="center"/>
    </xf>
    <xf borderId="34" fillId="10" fontId="13" numFmtId="0" xfId="0" applyAlignment="1" applyBorder="1" applyFill="1" applyFont="1">
      <alignment horizontal="center"/>
    </xf>
    <xf borderId="70" fillId="0" fontId="3" numFmtId="0" xfId="0" applyBorder="1" applyFont="1"/>
    <xf borderId="71" fillId="2" fontId="7" numFmtId="0" xfId="0" applyAlignment="1" applyBorder="1" applyFill="1" applyFont="1">
      <alignment horizontal="center"/>
    </xf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34" fillId="2" fontId="7" numFmtId="0" xfId="0" applyAlignment="1" applyBorder="1" applyFill="1" applyFont="1">
      <alignment horizontal="center"/>
    </xf>
    <xf borderId="19" fillId="0" fontId="7" numFmtId="0" xfId="0" applyAlignment="1" applyBorder="1" applyFont="1">
      <alignment horizontal="center"/>
    </xf>
    <xf borderId="41" fillId="0" fontId="7" numFmtId="0" xfId="0" applyAlignment="1" applyBorder="1" applyFont="1">
      <alignment horizontal="center"/>
    </xf>
    <xf borderId="75" fillId="0" fontId="7" numFmtId="0" xfId="0" applyAlignment="1" applyBorder="1" applyFont="1">
      <alignment horizontal="center" vertical="center"/>
    </xf>
    <xf borderId="76" fillId="0" fontId="7" numFmtId="0" xfId="0" applyAlignment="1" applyBorder="1" applyFont="1">
      <alignment horizontal="center"/>
    </xf>
    <xf borderId="33" fillId="11" fontId="2" numFmtId="0" xfId="0" applyAlignment="1" applyBorder="1" applyFill="1" applyFont="1">
      <alignment horizontal="center"/>
    </xf>
    <xf borderId="17" fillId="3" fontId="2" numFmtId="2" xfId="0" applyAlignment="1" applyBorder="1" applyFill="1" applyFont="1" applyNumberFormat="1">
      <alignment horizontal="center" vertical="center"/>
    </xf>
    <xf borderId="17" fillId="7" fontId="2" numFmtId="2" xfId="0" applyAlignment="1" applyBorder="1" applyFill="1" applyFont="1" applyNumberFormat="1">
      <alignment horizontal="center" vertical="center"/>
    </xf>
    <xf borderId="6" fillId="7" fontId="2" numFmtId="2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/>
    </xf>
    <xf borderId="44" fillId="0" fontId="2" numFmtId="2" xfId="0" applyAlignment="1" applyBorder="1" applyFont="1" applyNumberFormat="1">
      <alignment horizontal="center"/>
    </xf>
    <xf borderId="4" fillId="3" fontId="6" numFmtId="0" xfId="0" applyAlignment="1" applyBorder="1" applyFill="1" applyFont="1">
      <alignment horizontal="center"/>
    </xf>
    <xf borderId="11" fillId="11" fontId="2" numFmtId="0" xfId="0" applyAlignment="1" applyBorder="1" applyFill="1" applyFont="1">
      <alignment horizontal="center"/>
    </xf>
    <xf borderId="6" fillId="0" fontId="14" numFmtId="0" xfId="0" applyAlignment="1" applyBorder="1" applyFont="1">
      <alignment horizontal="center"/>
    </xf>
    <xf borderId="61" fillId="3" fontId="2" numFmtId="2" xfId="0" applyAlignment="1" applyBorder="1" applyFill="1" applyFont="1" applyNumberFormat="1">
      <alignment horizontal="center"/>
    </xf>
    <xf borderId="6" fillId="2" fontId="14" numFmtId="0" xfId="0" applyAlignment="1" applyBorder="1" applyFill="1" applyFont="1">
      <alignment horizontal="center"/>
    </xf>
    <xf borderId="61" fillId="7" fontId="2" numFmtId="2" xfId="0" applyAlignment="1" applyBorder="1" applyFill="1" applyFont="1" applyNumberFormat="1">
      <alignment horizontal="center"/>
    </xf>
    <xf borderId="4" fillId="3" fontId="14" numFmtId="0" xfId="0" applyAlignment="1" applyBorder="1" applyFill="1" applyFont="1">
      <alignment horizontal="center"/>
    </xf>
    <xf borderId="44" fillId="7" fontId="2" numFmtId="2" xfId="0" applyAlignment="1" applyBorder="1" applyFill="1" applyFont="1" applyNumberFormat="1">
      <alignment horizontal="center"/>
    </xf>
    <xf borderId="6" fillId="7" fontId="9" numFmtId="2" xfId="0" applyAlignment="1" applyBorder="1" applyFill="1" applyFont="1" applyNumberFormat="1">
      <alignment horizontal="center" vertical="center"/>
    </xf>
    <xf borderId="7" fillId="3" fontId="9" numFmtId="0" xfId="0" applyAlignment="1" applyBorder="1" applyFill="1" applyFont="1">
      <alignment horizontal="center"/>
    </xf>
    <xf borderId="54" fillId="11" fontId="2" numFmtId="0" xfId="0" applyAlignment="1" applyBorder="1" applyFill="1" applyFont="1">
      <alignment horizontal="center"/>
    </xf>
    <xf borderId="18" fillId="0" fontId="2" numFmtId="2" xfId="0" applyAlignment="1" applyBorder="1" applyFont="1" applyNumberFormat="1">
      <alignment horizontal="center" vertical="center"/>
    </xf>
    <xf borderId="47" fillId="0" fontId="2" numFmtId="2" xfId="0" applyAlignment="1" applyBorder="1" applyFont="1" applyNumberFormat="1">
      <alignment horizontal="center" vertical="center"/>
    </xf>
    <xf borderId="18" fillId="7" fontId="9" numFmtId="2" xfId="0" applyAlignment="1" applyBorder="1" applyFill="1" applyFont="1" applyNumberFormat="1">
      <alignment horizontal="center" vertical="center"/>
    </xf>
    <xf borderId="77" fillId="11" fontId="2" numFmtId="0" xfId="0" applyAlignment="1" applyBorder="1" applyFill="1" applyFont="1">
      <alignment horizontal="center"/>
    </xf>
    <xf borderId="18" fillId="12" fontId="2" numFmtId="2" xfId="0" applyAlignment="1" applyBorder="1" applyFill="1" applyFont="1" applyNumberFormat="1">
      <alignment horizontal="center" vertical="center"/>
    </xf>
    <xf borderId="47" fillId="7" fontId="2" numFmtId="2" xfId="0" applyAlignment="1" applyBorder="1" applyFill="1" applyFont="1" applyNumberFormat="1">
      <alignment horizontal="center" vertical="center"/>
    </xf>
    <xf borderId="18" fillId="7" fontId="2" numFmtId="2" xfId="0" applyAlignment="1" applyBorder="1" applyFill="1" applyFont="1" applyNumberFormat="1">
      <alignment horizontal="center" vertical="center"/>
    </xf>
    <xf borderId="47" fillId="7" fontId="9" numFmtId="2" xfId="0" applyAlignment="1" applyBorder="1" applyFill="1" applyFont="1" applyNumberFormat="1">
      <alignment horizontal="center" vertical="center"/>
    </xf>
    <xf borderId="0" fillId="0" fontId="2" numFmtId="165" xfId="0" applyFont="1" applyNumberFormat="1"/>
    <xf borderId="0" fillId="0" fontId="7" numFmtId="0" xfId="0" applyAlignment="1" applyFont="1">
      <alignment horizontal="center" vertical="center"/>
    </xf>
    <xf borderId="78" fillId="3" fontId="2" numFmtId="165" xfId="0" applyAlignment="1" applyBorder="1" applyFill="1" applyFont="1" applyNumberFormat="1">
      <alignment horizontal="center" vertical="center"/>
    </xf>
    <xf borderId="16" fillId="3" fontId="2" numFmtId="165" xfId="0" applyAlignment="1" applyBorder="1" applyFill="1" applyFont="1" applyNumberFormat="1">
      <alignment horizontal="center" vertical="center"/>
    </xf>
    <xf borderId="79" fillId="3" fontId="2" numFmtId="165" xfId="0" applyAlignment="1" applyBorder="1" applyFill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78" fillId="7" fontId="9" numFmtId="165" xfId="0" applyAlignment="1" applyBorder="1" applyFill="1" applyFont="1" applyNumberFormat="1">
      <alignment horizontal="center" vertical="center"/>
    </xf>
    <xf borderId="16" fillId="7" fontId="9" numFmtId="165" xfId="0" applyAlignment="1" applyBorder="1" applyFill="1" applyFont="1" applyNumberFormat="1">
      <alignment horizontal="center" vertical="center"/>
    </xf>
    <xf borderId="45" fillId="0" fontId="9" numFmtId="165" xfId="0" applyAlignment="1" applyBorder="1" applyFont="1" applyNumberFormat="1">
      <alignment horizontal="center" vertical="center"/>
    </xf>
    <xf borderId="80" fillId="0" fontId="2" numFmtId="165" xfId="0" applyAlignment="1" applyBorder="1" applyFont="1" applyNumberFormat="1">
      <alignment horizontal="center" vertical="center"/>
    </xf>
    <xf borderId="32" fillId="3" fontId="2" numFmtId="0" xfId="0" applyAlignment="1" applyBorder="1" applyFill="1" applyFont="1">
      <alignment horizontal="center" vertical="center"/>
    </xf>
    <xf borderId="58" fillId="0" fontId="2" numFmtId="165" xfId="0" applyAlignment="1" applyBorder="1" applyFont="1" applyNumberFormat="1">
      <alignment horizontal="center" vertical="center"/>
    </xf>
    <xf borderId="75" fillId="3" fontId="2" numFmtId="0" xfId="0" applyAlignment="1" applyBorder="1" applyFill="1" applyFont="1">
      <alignment horizontal="center" vertical="center"/>
    </xf>
    <xf borderId="81" fillId="0" fontId="3" numFmtId="0" xfId="0" applyBorder="1" applyFont="1"/>
    <xf borderId="45" fillId="0" fontId="2" numFmtId="165" xfId="0" applyAlignment="1" applyBorder="1" applyFont="1" applyNumberFormat="1">
      <alignment horizontal="center" vertical="center"/>
    </xf>
    <xf borderId="77" fillId="3" fontId="2" numFmtId="0" xfId="0" applyAlignment="1" applyBorder="1" applyFill="1" applyFont="1">
      <alignment horizontal="center" vertical="center"/>
    </xf>
    <xf borderId="6" fillId="0" fontId="11" numFmtId="165" xfId="0" applyAlignment="1" applyBorder="1" applyFont="1" applyNumberFormat="1">
      <alignment horizontal="center" vertical="center"/>
    </xf>
    <xf borderId="80" fillId="0" fontId="2" numFmtId="165" xfId="0" applyBorder="1" applyFont="1" applyNumberFormat="1"/>
    <xf borderId="55" fillId="3" fontId="2" numFmtId="0" xfId="0" applyAlignment="1" applyBorder="1" applyFill="1" applyFont="1">
      <alignment horizontal="center" vertical="center"/>
    </xf>
    <xf borderId="78" fillId="7" fontId="2" numFmtId="165" xfId="0" applyAlignment="1" applyBorder="1" applyFill="1" applyFont="1" applyNumberFormat="1">
      <alignment horizontal="center" vertical="center"/>
    </xf>
    <xf borderId="47" fillId="3" fontId="2" numFmtId="0" xfId="0" applyAlignment="1" applyBorder="1" applyFill="1" applyFont="1">
      <alignment horizontal="center" vertical="center"/>
    </xf>
    <xf borderId="16" fillId="7" fontId="2" numFmtId="165" xfId="0" applyAlignment="1" applyBorder="1" applyFill="1" applyFont="1" applyNumberFormat="1">
      <alignment horizontal="center" vertical="center"/>
    </xf>
    <xf borderId="48" fillId="3" fontId="2" numFmtId="0" xfId="0" applyAlignment="1" applyBorder="1" applyFill="1" applyFont="1">
      <alignment horizontal="center" vertical="center"/>
    </xf>
    <xf borderId="79" fillId="7" fontId="2" numFmtId="165" xfId="0" applyAlignment="1" applyBorder="1" applyFill="1" applyFont="1" applyNumberFormat="1">
      <alignment horizontal="center" vertical="center"/>
    </xf>
    <xf borderId="82" fillId="0" fontId="2" numFmtId="0" xfId="0" applyAlignment="1" applyBorder="1" applyFont="1">
      <alignment horizontal="center" vertical="center"/>
    </xf>
    <xf borderId="63" fillId="0" fontId="2" numFmtId="165" xfId="0" applyAlignment="1" applyBorder="1" applyFont="1" applyNumberFormat="1">
      <alignment horizontal="center" vertical="center"/>
    </xf>
    <xf borderId="78" fillId="7" fontId="2" numFmtId="165" xfId="0" applyAlignment="1" applyBorder="1" applyFill="1" applyFont="1" applyNumberFormat="1">
      <alignment horizontal="center"/>
    </xf>
    <xf borderId="60" fillId="0" fontId="2" numFmtId="0" xfId="0" applyAlignment="1" applyBorder="1" applyFont="1">
      <alignment horizontal="center" vertical="center"/>
    </xf>
    <xf borderId="83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44" fillId="0" fontId="2" numFmtId="0" xfId="0" applyAlignment="1" applyBorder="1" applyFont="1">
      <alignment horizontal="center" vertical="center"/>
    </xf>
    <xf borderId="84" fillId="2" fontId="2" numFmtId="165" xfId="0" applyAlignment="1" applyBorder="1" applyFill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85" fillId="0" fontId="2" numFmtId="165" xfId="0" applyAlignment="1" applyBorder="1" applyFont="1" applyNumberFormat="1">
      <alignment horizontal="center" vertical="center"/>
    </xf>
    <xf borderId="47" fillId="0" fontId="2" numFmtId="0" xfId="0" applyAlignment="1" applyBorder="1" applyFont="1">
      <alignment horizontal="center" vertical="center"/>
    </xf>
    <xf borderId="48" fillId="0" fontId="2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86" fillId="0" fontId="7" numFmtId="0" xfId="0" applyAlignment="1" applyBorder="1" applyFont="1">
      <alignment horizontal="center"/>
    </xf>
    <xf borderId="87" fillId="0" fontId="7" numFmtId="0" xfId="0" applyAlignment="1" applyBorder="1" applyFont="1">
      <alignment horizontal="center"/>
    </xf>
    <xf borderId="44" fillId="0" fontId="2" numFmtId="2" xfId="0" applyAlignment="1" applyBorder="1" applyFont="1" applyNumberFormat="1">
      <alignment horizontal="center" vertical="center"/>
    </xf>
    <xf borderId="6" fillId="2" fontId="2" numFmtId="165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 vertical="center"/>
    </xf>
    <xf borderId="44" fillId="3" fontId="2" numFmtId="2" xfId="0" applyAlignment="1" applyBorder="1" applyFill="1" applyFont="1" applyNumberFormat="1">
      <alignment horizontal="center" vertical="center"/>
    </xf>
    <xf borderId="44" fillId="7" fontId="2" numFmtId="2" xfId="0" applyAlignment="1" applyBorder="1" applyFill="1" applyFont="1" applyNumberFormat="1">
      <alignment horizontal="center" vertical="center"/>
    </xf>
    <xf borderId="88" fillId="0" fontId="2" numFmtId="0" xfId="0" applyAlignment="1" applyBorder="1" applyFont="1">
      <alignment horizontal="center"/>
    </xf>
    <xf borderId="88" fillId="0" fontId="3" numFmtId="0" xfId="0" applyBorder="1" applyFont="1"/>
    <xf borderId="48" fillId="0" fontId="2" numFmtId="2" xfId="0" applyAlignment="1" applyBorder="1" applyFont="1" applyNumberFormat="1">
      <alignment horizontal="center" vertical="center"/>
    </xf>
    <xf borderId="48" fillId="3" fontId="2" numFmtId="2" xfId="0" applyAlignment="1" applyBorder="1" applyFill="1" applyFont="1" applyNumberFormat="1">
      <alignment horizontal="center" vertical="center"/>
    </xf>
    <xf borderId="6" fillId="7" fontId="12" numFmtId="0" xfId="0" applyAlignment="1" applyBorder="1" applyFill="1" applyFont="1">
      <alignment horizontal="center" vertical="center"/>
    </xf>
    <xf borderId="48" fillId="7" fontId="2" numFmtId="2" xfId="0" applyAlignment="1" applyBorder="1" applyFill="1" applyFont="1" applyNumberFormat="1">
      <alignment horizontal="center" vertical="center"/>
    </xf>
    <xf borderId="16" fillId="7" fontId="9" numFmtId="0" xfId="0" applyAlignment="1" applyBorder="1" applyFill="1" applyFont="1">
      <alignment horizontal="center" vertical="center"/>
    </xf>
    <xf borderId="16" fillId="7" fontId="2" numFmtId="0" xfId="0" applyAlignment="1" applyBorder="1" applyFill="1" applyFont="1">
      <alignment horizontal="center" vertical="center"/>
    </xf>
    <xf borderId="79" fillId="3" fontId="2" numFmtId="0" xfId="0" applyAlignment="1" applyBorder="1" applyFill="1" applyFont="1">
      <alignment horizontal="center" vertical="center"/>
    </xf>
    <xf borderId="79" fillId="7" fontId="2" numFmtId="0" xfId="0" applyAlignment="1" applyBorder="1" applyFill="1" applyFont="1">
      <alignment horizontal="center" vertical="center"/>
    </xf>
    <xf borderId="34" fillId="10" fontId="13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71" fillId="2" fontId="7" numFmtId="0" xfId="0" applyAlignment="1" applyBorder="1" applyFill="1" applyFont="1">
      <alignment horizontal="center" vertical="center"/>
    </xf>
    <xf borderId="34" fillId="2" fontId="7" numFmtId="0" xfId="0" applyAlignment="1" applyBorder="1" applyFill="1" applyFont="1">
      <alignment horizontal="center" vertical="center"/>
    </xf>
    <xf borderId="81" fillId="0" fontId="7" numFmtId="0" xfId="0" applyAlignment="1" applyBorder="1" applyFont="1">
      <alignment horizontal="center" vertical="center"/>
    </xf>
    <xf borderId="89" fillId="0" fontId="2" numFmtId="2" xfId="0" applyAlignment="1" applyBorder="1" applyFont="1" applyNumberFormat="1">
      <alignment horizontal="center" vertical="center"/>
    </xf>
    <xf borderId="90" fillId="0" fontId="2" numFmtId="0" xfId="0" applyAlignment="1" applyBorder="1" applyFont="1">
      <alignment horizontal="center" vertical="center"/>
    </xf>
    <xf borderId="91" fillId="3" fontId="2" numFmtId="2" xfId="0" applyAlignment="1" applyBorder="1" applyFill="1" applyFont="1" applyNumberFormat="1">
      <alignment horizontal="center" vertical="center"/>
    </xf>
    <xf borderId="91" fillId="7" fontId="2" numFmtId="2" xfId="0" applyAlignment="1" applyBorder="1" applyFill="1" applyFont="1" applyNumberFormat="1">
      <alignment horizontal="center" vertical="center"/>
    </xf>
    <xf borderId="76" fillId="0" fontId="7" numFmtId="0" xfId="0" applyAlignment="1" applyBorder="1" applyFont="1">
      <alignment horizontal="center" vertical="center"/>
    </xf>
    <xf borderId="92" fillId="0" fontId="2" numFmtId="0" xfId="0" applyAlignment="1" applyBorder="1" applyFont="1">
      <alignment horizontal="center" vertical="center"/>
    </xf>
    <xf borderId="93" fillId="0" fontId="2" numFmtId="0" xfId="0" applyAlignment="1" applyBorder="1" applyFont="1">
      <alignment horizontal="center" vertical="center"/>
    </xf>
    <xf borderId="94" fillId="7" fontId="2" numFmtId="2" xfId="0" applyAlignment="1" applyBorder="1" applyFill="1" applyFont="1" applyNumberFormat="1">
      <alignment horizontal="center" vertical="center"/>
    </xf>
    <xf borderId="78" fillId="7" fontId="2" numFmtId="165" xfId="0" applyAlignment="1" applyBorder="1" applyFill="1" applyFont="1" applyNumberFormat="1">
      <alignment horizontal="left" vertical="center"/>
    </xf>
    <xf borderId="16" fillId="7" fontId="2" numFmtId="11" xfId="0" applyAlignment="1" applyBorder="1" applyFill="1" applyFont="1" applyNumberFormat="1">
      <alignment horizontal="center" vertical="center"/>
    </xf>
    <xf borderId="80" fillId="0" fontId="9" numFmtId="165" xfId="0" applyAlignment="1" applyBorder="1" applyFont="1" applyNumberFormat="1">
      <alignment horizontal="center" vertical="center"/>
    </xf>
    <xf borderId="58" fillId="0" fontId="9" numFmtId="11" xfId="0" applyAlignment="1" applyBorder="1" applyFont="1" applyNumberFormat="1">
      <alignment horizontal="center" vertical="center"/>
    </xf>
    <xf borderId="58" fillId="0" fontId="9" numFmtId="165" xfId="0" applyAlignment="1" applyBorder="1" applyFont="1" applyNumberFormat="1">
      <alignment horizontal="center" vertical="center"/>
    </xf>
    <xf borderId="58" fillId="0" fontId="2" numFmtId="11" xfId="0" applyAlignment="1" applyBorder="1" applyFont="1" applyNumberFormat="1">
      <alignment horizontal="left" vertical="center"/>
    </xf>
    <xf borderId="45" fillId="0" fontId="2" numFmtId="0" xfId="0" applyAlignment="1" applyBorder="1" applyFont="1">
      <alignment horizontal="center" vertical="center"/>
    </xf>
    <xf borderId="18" fillId="0" fontId="2" numFmtId="165" xfId="0" applyAlignment="1" applyBorder="1" applyFont="1" applyNumberFormat="1">
      <alignment horizontal="center"/>
    </xf>
    <xf borderId="47" fillId="0" fontId="2" numFmtId="11" xfId="0" applyAlignment="1" applyBorder="1" applyFont="1" applyNumberFormat="1">
      <alignment horizontal="center"/>
    </xf>
    <xf borderId="0" fillId="0" fontId="9" numFmtId="2" xfId="0" applyAlignment="1" applyFont="1" applyNumberFormat="1">
      <alignment horizontal="center" vertical="center"/>
    </xf>
    <xf borderId="18" fillId="0" fontId="2" numFmtId="165" xfId="0" applyBorder="1" applyFont="1" applyNumberFormat="1"/>
    <xf borderId="47" fillId="0" fontId="2" numFmtId="11" xfId="0" applyBorder="1" applyFont="1" applyNumberFormat="1"/>
    <xf borderId="47" fillId="0" fontId="2" numFmtId="165" xfId="0" applyBorder="1" applyFont="1" applyNumberFormat="1"/>
    <xf borderId="48" fillId="7" fontId="2" numFmtId="0" xfId="0" applyAlignment="1" applyBorder="1" applyFill="1" applyFont="1">
      <alignment horizontal="center"/>
    </xf>
    <xf borderId="47" fillId="0" fontId="2" numFmtId="0" xfId="0" applyBorder="1" applyFont="1"/>
    <xf borderId="48" fillId="0" fontId="2" numFmtId="0" xfId="0" applyAlignment="1" applyBorder="1" applyFont="1">
      <alignment horizontal="center"/>
    </xf>
    <xf borderId="47" fillId="0" fontId="2" numFmtId="0" xfId="0" applyAlignment="1" applyBorder="1" applyFont="1">
      <alignment horizontal="center"/>
    </xf>
    <xf borderId="47" fillId="7" fontId="2" numFmtId="11" xfId="0" applyAlignment="1" applyBorder="1" applyFill="1" applyFont="1" applyNumberFormat="1">
      <alignment horizontal="center"/>
    </xf>
    <xf borderId="48" fillId="7" fontId="2" numFmtId="0" xfId="0" applyAlignment="1" applyBorder="1" applyFill="1" applyFont="1">
      <alignment horizontal="center" vertical="center"/>
    </xf>
    <xf borderId="95" fillId="10" fontId="13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17" fillId="0" fontId="2" numFmtId="1" xfId="0" applyAlignment="1" applyBorder="1" applyFont="1" applyNumberFormat="1">
      <alignment horizontal="center"/>
    </xf>
    <xf borderId="18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86" fillId="0" fontId="7" numFmtId="0" xfId="0" applyAlignment="1" applyBorder="1" applyFont="1">
      <alignment horizontal="center" vertical="center"/>
    </xf>
    <xf borderId="96" fillId="0" fontId="3" numFmtId="0" xfId="0" applyBorder="1" applyFont="1"/>
    <xf borderId="86" fillId="2" fontId="7" numFmtId="0" xfId="0" applyAlignment="1" applyBorder="1" applyFill="1" applyFont="1">
      <alignment horizontal="center"/>
    </xf>
    <xf borderId="86" fillId="2" fontId="7" numFmtId="0" xfId="0" applyAlignment="1" applyBorder="1" applyFill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44" fillId="0" fontId="7" numFmtId="0" xfId="0" applyAlignment="1" applyBorder="1" applyFont="1">
      <alignment horizontal="center" vertical="center"/>
    </xf>
    <xf borderId="7" fillId="11" fontId="2" numFmtId="0" xfId="0" applyAlignment="1" applyBorder="1" applyFill="1" applyFont="1">
      <alignment horizontal="center"/>
    </xf>
    <xf borderId="17" fillId="0" fontId="2" numFmtId="164" xfId="0" applyAlignment="1" applyBorder="1" applyFont="1" applyNumberFormat="1">
      <alignment horizontal="center" vertical="center"/>
    </xf>
    <xf borderId="44" fillId="0" fontId="2" numFmtId="164" xfId="0" applyAlignment="1" applyBorder="1" applyFont="1" applyNumberFormat="1">
      <alignment horizontal="center" vertical="center"/>
    </xf>
    <xf borderId="18" fillId="0" fontId="2" numFmtId="164" xfId="0" applyAlignment="1" applyBorder="1" applyFont="1" applyNumberFormat="1">
      <alignment horizontal="center" vertical="center"/>
    </xf>
    <xf borderId="47" fillId="0" fontId="2" numFmtId="164" xfId="0" applyAlignment="1" applyBorder="1" applyFont="1" applyNumberFormat="1">
      <alignment horizontal="center" vertical="center"/>
    </xf>
    <xf borderId="48" fillId="0" fontId="2" numFmtId="164" xfId="0" applyAlignment="1" applyBorder="1" applyFont="1" applyNumberFormat="1">
      <alignment horizontal="center" vertical="center"/>
    </xf>
    <xf borderId="87" fillId="0" fontId="2" numFmtId="0" xfId="0" applyAlignment="1" applyBorder="1" applyFont="1">
      <alignment horizontal="center"/>
    </xf>
    <xf borderId="87" fillId="0" fontId="2" numFmtId="0" xfId="0" applyAlignment="1" applyBorder="1" applyFont="1">
      <alignment horizontal="center" vertical="center"/>
    </xf>
    <xf borderId="97" fillId="0" fontId="7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92" fillId="0" fontId="2" numFmtId="164" xfId="0" applyAlignment="1" applyBorder="1" applyFont="1" applyNumberFormat="1">
      <alignment horizontal="center" vertical="center"/>
    </xf>
    <xf borderId="53" fillId="0" fontId="2" numFmtId="164" xfId="0" applyAlignment="1" applyBorder="1" applyFont="1" applyNumberFormat="1">
      <alignment horizontal="center" vertical="center"/>
    </xf>
    <xf borderId="98" fillId="0" fontId="2" numFmtId="0" xfId="0" applyAlignment="1" applyBorder="1" applyFont="1">
      <alignment horizontal="center" vertical="center"/>
    </xf>
    <xf borderId="0" fillId="0" fontId="2" numFmtId="11" xfId="0" applyAlignment="1" applyFont="1" applyNumberFormat="1">
      <alignment horizontal="center" vertical="center"/>
    </xf>
    <xf borderId="25" fillId="0" fontId="2" numFmtId="164" xfId="0" applyAlignment="1" applyBorder="1" applyFont="1" applyNumberFormat="1">
      <alignment horizontal="center"/>
    </xf>
    <xf borderId="18" fillId="0" fontId="2" numFmtId="164" xfId="0" applyAlignment="1" applyBorder="1" applyFont="1" applyNumberFormat="1">
      <alignment horizontal="center"/>
    </xf>
    <xf borderId="47" fillId="0" fontId="2" numFmtId="164" xfId="0" applyAlignment="1" applyBorder="1" applyFont="1" applyNumberFormat="1">
      <alignment horizontal="center"/>
    </xf>
    <xf borderId="92" fillId="0" fontId="2" numFmtId="164" xfId="0" applyAlignment="1" applyBorder="1" applyFont="1" applyNumberFormat="1">
      <alignment horizontal="center"/>
    </xf>
    <xf borderId="48" fillId="0" fontId="2" numFmtId="164" xfId="0" applyAlignment="1" applyBorder="1" applyFont="1" applyNumberFormat="1">
      <alignment horizontal="center"/>
    </xf>
    <xf borderId="18" fillId="0" fontId="2" numFmtId="0" xfId="0" applyAlignment="1" applyBorder="1" applyFont="1">
      <alignment horizontal="center"/>
    </xf>
    <xf borderId="99" fillId="2" fontId="7" numFmtId="0" xfId="0" applyAlignment="1" applyBorder="1" applyFill="1" applyFont="1">
      <alignment horizontal="center"/>
    </xf>
    <xf borderId="100" fillId="0" fontId="3" numFmtId="0" xfId="0" applyBorder="1" applyFont="1"/>
    <xf borderId="101" fillId="2" fontId="7" numFmtId="0" xfId="0" applyBorder="1" applyFill="1" applyFont="1"/>
    <xf borderId="102" fillId="2" fontId="7" numFmtId="0" xfId="0" applyBorder="1" applyFill="1" applyFont="1"/>
    <xf borderId="103" fillId="2" fontId="7" numFmtId="0" xfId="0" applyBorder="1" applyFill="1" applyFont="1"/>
    <xf borderId="17" fillId="0" fontId="7" numFmtId="0" xfId="0" applyAlignment="1" applyBorder="1" applyFont="1">
      <alignment horizontal="center"/>
    </xf>
    <xf borderId="44" fillId="0" fontId="7" numFmtId="0" xfId="0" applyBorder="1" applyFont="1"/>
    <xf borderId="17" fillId="0" fontId="2" numFmtId="0" xfId="0" applyAlignment="1" applyBorder="1" applyFont="1">
      <alignment horizontal="center"/>
    </xf>
    <xf borderId="44" fillId="0" fontId="2" numFmtId="0" xfId="0" applyBorder="1" applyFont="1"/>
    <xf borderId="48" fillId="0" fontId="2" numFmtId="0" xfId="0" applyBorder="1" applyFont="1"/>
    <xf borderId="18" fillId="0" fontId="2" numFmtId="165" xfId="0" applyAlignment="1" applyBorder="1" applyFont="1" applyNumberFormat="1">
      <alignment horizontal="center" vertical="center"/>
    </xf>
    <xf borderId="104" fillId="2" fontId="7" numFmtId="0" xfId="0" applyAlignment="1" applyBorder="1" applyFill="1" applyFont="1">
      <alignment horizontal="center"/>
    </xf>
    <xf borderId="105" fillId="0" fontId="3" numFmtId="0" xfId="0" applyBorder="1" applyFont="1"/>
    <xf borderId="106" fillId="0" fontId="3" numFmtId="0" xfId="0" applyBorder="1" applyFont="1"/>
    <xf borderId="5" fillId="0" fontId="2" numFmtId="2" xfId="0" applyAlignment="1" applyBorder="1" applyFont="1" applyNumberFormat="1">
      <alignment horizontal="center" vertical="center"/>
    </xf>
    <xf borderId="18" fillId="0" fontId="2" numFmtId="0" xfId="0" applyBorder="1" applyFont="1"/>
    <xf borderId="95" fillId="2" fontId="7" numFmtId="0" xfId="0" applyAlignment="1" applyBorder="1" applyFill="1" applyFont="1">
      <alignment horizontal="center" vertical="center"/>
    </xf>
    <xf borderId="107" fillId="0" fontId="3" numFmtId="0" xfId="0" applyBorder="1" applyFont="1"/>
    <xf borderId="108" fillId="2" fontId="7" numFmtId="0" xfId="0" applyAlignment="1" applyBorder="1" applyFill="1" applyFont="1">
      <alignment horizontal="center"/>
    </xf>
    <xf borderId="5" fillId="0" fontId="7" numFmtId="0" xfId="0" applyAlignment="1" applyBorder="1" applyFont="1">
      <alignment horizontal="center" vertical="center"/>
    </xf>
    <xf borderId="95" fillId="2" fontId="7" numFmtId="0" xfId="0" applyAlignment="1" applyBorder="1" applyFill="1" applyFont="1">
      <alignment horizontal="center"/>
    </xf>
    <xf borderId="109" fillId="0" fontId="7" numFmtId="0" xfId="0" applyAlignment="1" applyBorder="1" applyFont="1">
      <alignment horizontal="center" vertical="center"/>
    </xf>
    <xf borderId="83" fillId="0" fontId="2" numFmtId="164" xfId="0" applyAlignment="1" applyBorder="1" applyFont="1" applyNumberFormat="1">
      <alignment horizontal="center" vertical="center"/>
    </xf>
    <xf borderId="78" fillId="12" fontId="2" numFmtId="165" xfId="0" applyAlignment="1" applyBorder="1" applyFill="1" applyFont="1" applyNumberFormat="1">
      <alignment horizontal="center" vertical="center"/>
    </xf>
    <xf borderId="16" fillId="12" fontId="2" numFmtId="165" xfId="0" applyAlignment="1" applyBorder="1" applyFill="1" applyFont="1" applyNumberFormat="1">
      <alignment horizontal="center" vertical="center"/>
    </xf>
    <xf borderId="79" fillId="12" fontId="2" numFmtId="165" xfId="0" applyAlignment="1" applyBorder="1" applyFill="1" applyFont="1" applyNumberFormat="1">
      <alignment horizontal="center" vertical="center"/>
    </xf>
    <xf borderId="80" fillId="0" fontId="2" numFmtId="0" xfId="0" applyAlignment="1" applyBorder="1" applyFont="1">
      <alignment horizontal="center" vertical="center"/>
    </xf>
    <xf borderId="66" fillId="0" fontId="2" numFmtId="0" xfId="0" applyAlignment="1" applyBorder="1" applyFont="1">
      <alignment horizontal="center"/>
    </xf>
    <xf borderId="68" fillId="8" fontId="2" numFmtId="165" xfId="0" applyAlignment="1" applyBorder="1" applyFill="1" applyFont="1" applyNumberFormat="1">
      <alignment horizontal="center"/>
    </xf>
    <xf borderId="65" fillId="0" fontId="7" numFmtId="0" xfId="0" applyAlignment="1" applyBorder="1" applyFont="1">
      <alignment horizontal="center" vertical="center"/>
    </xf>
    <xf borderId="110" fillId="0" fontId="7" numFmtId="0" xfId="0" applyAlignment="1" applyBorder="1" applyFont="1">
      <alignment horizontal="center" vertical="center"/>
    </xf>
    <xf borderId="66" fillId="0" fontId="7" numFmtId="0" xfId="0" applyAlignment="1" applyBorder="1" applyFont="1">
      <alignment horizontal="center" vertical="center"/>
    </xf>
    <xf borderId="111" fillId="0" fontId="7" numFmtId="0" xfId="0" applyAlignment="1" applyBorder="1" applyFont="1">
      <alignment horizontal="center" vertical="center"/>
    </xf>
    <xf borderId="44" fillId="12" fontId="2" numFmtId="2" xfId="0" applyAlignment="1" applyBorder="1" applyFill="1" applyFont="1" applyNumberFormat="1">
      <alignment horizontal="center" vertical="center"/>
    </xf>
    <xf borderId="44" fillId="8" fontId="2" numFmtId="2" xfId="0" applyAlignment="1" applyBorder="1" applyFill="1" applyFont="1" applyNumberFormat="1">
      <alignment horizontal="center" vertical="center"/>
    </xf>
    <xf borderId="47" fillId="0" fontId="2" numFmtId="2" xfId="0" applyAlignment="1" applyBorder="1" applyFont="1" applyNumberFormat="1">
      <alignment horizontal="center"/>
    </xf>
    <xf borderId="98" fillId="0" fontId="2" numFmtId="2" xfId="0" applyAlignment="1" applyBorder="1" applyFont="1" applyNumberFormat="1">
      <alignment horizontal="center"/>
    </xf>
    <xf borderId="48" fillId="0" fontId="2" numFmtId="2" xfId="0" applyAlignment="1" applyBorder="1" applyFont="1" applyNumberFormat="1">
      <alignment horizontal="center"/>
    </xf>
    <xf borderId="53" fillId="0" fontId="2" numFmtId="2" xfId="0" applyAlignment="1" applyBorder="1" applyFont="1" applyNumberFormat="1">
      <alignment horizontal="center" vertical="center"/>
    </xf>
    <xf borderId="112" fillId="0" fontId="3" numFmtId="0" xfId="0" applyBorder="1" applyFont="1"/>
    <xf borderId="50" fillId="11" fontId="2" numFmtId="2" xfId="0" applyAlignment="1" applyBorder="1" applyFill="1" applyFont="1" applyNumberFormat="1">
      <alignment horizontal="center" vertical="center"/>
    </xf>
    <xf borderId="89" fillId="0" fontId="7" numFmtId="0" xfId="0" applyAlignment="1" applyBorder="1" applyFont="1">
      <alignment horizontal="center" vertical="center"/>
    </xf>
    <xf borderId="16" fillId="8" fontId="2" numFmtId="165" xfId="0" applyAlignment="1" applyBorder="1" applyFill="1" applyFont="1" applyNumberFormat="1">
      <alignment horizontal="center" vertical="center"/>
    </xf>
    <xf borderId="113" fillId="11" fontId="2" numFmtId="2" xfId="0" applyAlignment="1" applyBorder="1" applyFill="1" applyFont="1" applyNumberFormat="1">
      <alignment horizontal="center" vertical="center"/>
    </xf>
    <xf borderId="4" fillId="0" fontId="2" numFmtId="0" xfId="0" applyBorder="1" applyFont="1"/>
    <xf borderId="80" fillId="0" fontId="2" numFmtId="165" xfId="0" applyAlignment="1" applyBorder="1" applyFont="1" applyNumberFormat="1">
      <alignment horizontal="center"/>
    </xf>
    <xf borderId="114" fillId="11" fontId="2" numFmtId="2" xfId="0" applyAlignment="1" applyBorder="1" applyFill="1" applyFont="1" applyNumberFormat="1">
      <alignment horizontal="center" vertical="center"/>
    </xf>
    <xf borderId="98" fillId="0" fontId="2" numFmtId="0" xfId="0" applyBorder="1" applyFont="1"/>
    <xf borderId="78" fillId="3" fontId="2" numFmtId="165" xfId="0" applyBorder="1" applyFill="1" applyFont="1" applyNumberFormat="1"/>
    <xf borderId="16" fillId="3" fontId="2" numFmtId="165" xfId="0" applyBorder="1" applyFill="1" applyFont="1" applyNumberFormat="1"/>
    <xf borderId="16" fillId="7" fontId="9" numFmtId="165" xfId="0" applyBorder="1" applyFill="1" applyFont="1" applyNumberFormat="1"/>
    <xf borderId="79" fillId="7" fontId="9" numFmtId="165" xfId="0" applyAlignment="1" applyBorder="1" applyFill="1" applyFont="1" applyNumberFormat="1">
      <alignment horizontal="center" vertical="center"/>
    </xf>
    <xf borderId="58" fillId="0" fontId="2" numFmtId="165" xfId="0" applyBorder="1" applyFont="1" applyNumberFormat="1"/>
    <xf borderId="104" fillId="9" fontId="13" numFmtId="0" xfId="0" applyAlignment="1" applyBorder="1" applyFill="1" applyFont="1">
      <alignment horizontal="center"/>
    </xf>
    <xf borderId="115" fillId="0" fontId="3" numFmtId="0" xfId="0" applyBorder="1" applyFont="1"/>
    <xf borderId="71" fillId="9" fontId="13" numFmtId="0" xfId="0" applyAlignment="1" applyBorder="1" applyFill="1" applyFont="1">
      <alignment horizontal="center"/>
    </xf>
    <xf borderId="82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center" vertical="center"/>
    </xf>
    <xf borderId="83" fillId="0" fontId="7" numFmtId="0" xfId="0" applyAlignment="1" applyBorder="1" applyFon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98" fillId="0" fontId="2" numFmtId="164" xfId="0" applyAlignment="1" applyBorder="1" applyFont="1" applyNumberFormat="1">
      <alignment horizontal="center" vertical="center"/>
    </xf>
    <xf borderId="44" fillId="8" fontId="7" numFmtId="0" xfId="0" applyBorder="1" applyFill="1" applyFont="1"/>
    <xf borderId="80" fillId="0" fontId="2" numFmtId="11" xfId="0" applyAlignment="1" applyBorder="1" applyFont="1" applyNumberFormat="1">
      <alignment horizontal="center" vertical="center"/>
    </xf>
    <xf borderId="16" fillId="3" fontId="2" numFmtId="165" xfId="0" applyAlignment="1" applyBorder="1" applyFill="1" applyFont="1" applyNumberFormat="1">
      <alignment horizontal="center"/>
    </xf>
    <xf borderId="16" fillId="3" fontId="2" numFmtId="167" xfId="0" applyAlignment="1" applyBorder="1" applyFill="1" applyFont="1" applyNumberFormat="1">
      <alignment horizontal="center"/>
    </xf>
    <xf borderId="60" fillId="0" fontId="2" numFmtId="2" xfId="0" applyAlignment="1" applyBorder="1" applyFont="1" applyNumberFormat="1">
      <alignment horizontal="center" vertical="center"/>
    </xf>
    <xf borderId="116" fillId="0" fontId="2" numFmtId="2" xfId="0" applyAlignment="1" applyBorder="1" applyFont="1" applyNumberFormat="1">
      <alignment horizontal="center" vertical="center"/>
    </xf>
    <xf borderId="79" fillId="3" fontId="2" numFmtId="165" xfId="0" applyAlignment="1" applyBorder="1" applyFill="1" applyFont="1" applyNumberFormat="1">
      <alignment horizontal="center"/>
    </xf>
    <xf borderId="16" fillId="7" fontId="9" numFmtId="165" xfId="0" applyAlignment="1" applyBorder="1" applyFill="1" applyFont="1" applyNumberFormat="1">
      <alignment horizontal="center"/>
    </xf>
    <xf borderId="90" fillId="0" fontId="2" numFmtId="2" xfId="0" applyAlignment="1" applyBorder="1" applyFont="1" applyNumberFormat="1">
      <alignment horizontal="center" vertical="center"/>
    </xf>
    <xf borderId="16" fillId="7" fontId="9" numFmtId="168" xfId="0" applyAlignment="1" applyBorder="1" applyFill="1" applyFont="1" applyNumberFormat="1">
      <alignment horizontal="center"/>
    </xf>
    <xf borderId="79" fillId="7" fontId="9" numFmtId="165" xfId="0" applyAlignment="1" applyBorder="1" applyFill="1" applyFont="1" applyNumberFormat="1">
      <alignment horizontal="center"/>
    </xf>
    <xf borderId="58" fillId="0" fontId="2" numFmtId="165" xfId="0" applyAlignment="1" applyBorder="1" applyFont="1" applyNumberFormat="1">
      <alignment horizontal="center"/>
    </xf>
    <xf borderId="58" fillId="0" fontId="2" numFmtId="167" xfId="0" applyAlignment="1" applyBorder="1" applyFont="1" applyNumberFormat="1">
      <alignment horizontal="center"/>
    </xf>
    <xf borderId="16" fillId="7" fontId="2" numFmtId="165" xfId="0" applyAlignment="1" applyBorder="1" applyFill="1" applyFont="1" applyNumberFormat="1">
      <alignment horizontal="center"/>
    </xf>
    <xf borderId="16" fillId="7" fontId="2" numFmtId="167" xfId="0" applyAlignment="1" applyBorder="1" applyFill="1" applyFont="1" applyNumberFormat="1">
      <alignment horizontal="center"/>
    </xf>
    <xf borderId="79" fillId="7" fontId="2" numFmtId="165" xfId="0" applyAlignment="1" applyBorder="1" applyFill="1" applyFont="1" applyNumberFormat="1">
      <alignment horizontal="center"/>
    </xf>
    <xf borderId="7" fillId="7" fontId="2" numFmtId="0" xfId="0" applyBorder="1" applyFill="1" applyFont="1"/>
    <xf borderId="16" fillId="7" fontId="2" numFmtId="169" xfId="0" applyAlignment="1" applyBorder="1" applyFill="1" applyFont="1" applyNumberFormat="1">
      <alignment horizontal="center"/>
    </xf>
    <xf borderId="16" fillId="7" fontId="2" numFmtId="170" xfId="0" applyAlignment="1" applyBorder="1" applyFill="1" applyFont="1" applyNumberFormat="1">
      <alignment horizontal="center"/>
    </xf>
    <xf borderId="58" fillId="0" fontId="2" numFmtId="11" xfId="0" applyAlignment="1" applyBorder="1" applyFont="1" applyNumberFormat="1">
      <alignment horizontal="center"/>
    </xf>
    <xf borderId="16" fillId="7" fontId="2" numFmtId="11" xfId="0" applyAlignment="1" applyBorder="1" applyFill="1" applyFont="1" applyNumberFormat="1">
      <alignment horizontal="center"/>
    </xf>
    <xf borderId="80" fillId="0" fontId="2" numFmtId="165" xfId="0" applyAlignment="1" applyBorder="1" applyFont="1" applyNumberFormat="1">
      <alignment horizontal="left" vertical="center"/>
    </xf>
    <xf borderId="58" fillId="0" fontId="2" numFmtId="11" xfId="0" applyAlignment="1" applyBorder="1" applyFont="1" applyNumberFormat="1">
      <alignment horizontal="center" vertical="center"/>
    </xf>
    <xf borderId="44" fillId="3" fontId="2" numFmtId="2" xfId="0" applyAlignment="1" applyBorder="1" applyFill="1" applyFont="1" applyNumberFormat="1">
      <alignment horizontal="center"/>
    </xf>
    <xf borderId="48" fillId="7" fontId="2" numFmtId="2" xfId="0" applyAlignment="1" applyBorder="1" applyFill="1" applyFont="1" applyNumberFormat="1">
      <alignment horizontal="center"/>
    </xf>
    <xf borderId="58" fillId="0" fontId="2" numFmtId="168" xfId="0" applyAlignment="1" applyBorder="1" applyFont="1" applyNumberFormat="1">
      <alignment horizontal="center"/>
    </xf>
    <xf borderId="16" fillId="2" fontId="2" numFmtId="165" xfId="0" applyAlignment="1" applyBorder="1" applyFill="1" applyFont="1" applyNumberFormat="1">
      <alignment horizontal="center"/>
    </xf>
    <xf borderId="58" fillId="0" fontId="2" numFmtId="169" xfId="0" applyAlignment="1" applyBorder="1" applyFont="1" applyNumberFormat="1">
      <alignment horizontal="center"/>
    </xf>
    <xf borderId="58" fillId="0" fontId="2" numFmtId="17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externalLink" Target="externalLinks/externalLink1.xml"/><Relationship Id="rId21" Type="http://schemas.openxmlformats.org/officeDocument/2006/relationships/worksheet" Target="worksheets/sheet18.xml"/><Relationship Id="rId24" Type="http://customschemas.google.com/relationships/workbookmetadata" Target="metadata"/><Relationship Id="rId23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Curva de Calibração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'Curva de Calibração'!$B$8:$B$14</c:f>
            </c:numRef>
          </c:xVal>
          <c:yVal>
            <c:numRef>
              <c:f>'Curva de Calibração'!$C$8:$C$14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368082"/>
        <c:axId val="837208992"/>
      </c:scatterChart>
      <c:valAx>
        <c:axId val="901368082"/>
        <c:scaling>
          <c:orientation val="minMax"/>
          <c:max val="2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Concentração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7208992"/>
      </c:valAx>
      <c:valAx>
        <c:axId val="837208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Absorbância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136808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Adsorção com Variação de pH- Ácido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PALMA'!$A$8:$A$12</c:f>
            </c:strRef>
          </c:cat>
          <c:val>
            <c:numRef>
              <c:f>'pH PALMA'!$O$8:$O$12</c:f>
              <c:numCache/>
            </c:numRef>
          </c:val>
        </c:ser>
        <c:axId val="1328850887"/>
        <c:axId val="984443849"/>
      </c:barChart>
      <c:catAx>
        <c:axId val="1328850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Variação de pH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4443849"/>
      </c:catAx>
      <c:valAx>
        <c:axId val="984443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% de Remoção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88508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Adsorção com Variação de pH- In natura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PALMA'!$A$8:$A$12</c:f>
            </c:strRef>
          </c:cat>
          <c:val>
            <c:numRef>
              <c:f>'pH PALMA'!$O$23:$O$27</c:f>
              <c:numCache/>
            </c:numRef>
          </c:val>
        </c:ser>
        <c:axId val="924153923"/>
        <c:axId val="1733812648"/>
      </c:barChart>
      <c:catAx>
        <c:axId val="924153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Variação de pH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3812648"/>
      </c:catAx>
      <c:valAx>
        <c:axId val="1733812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% de Remoção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415392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Adsorção com Variação de pH- Base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PALMA'!$A$8:$A$12</c:f>
            </c:strRef>
          </c:cat>
          <c:val>
            <c:numRef>
              <c:f>'pH PALMA'!$O$35:$O$39</c:f>
              <c:numCache/>
            </c:numRef>
          </c:val>
        </c:ser>
        <c:axId val="1268085937"/>
        <c:axId val="733447719"/>
      </c:barChart>
      <c:catAx>
        <c:axId val="1268085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Variação de pH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3447719"/>
      </c:catAx>
      <c:valAx>
        <c:axId val="73344771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% de Remoção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808593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Palma - Ácido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'Massa PALMA'!$B$13:$B$19</c:f>
            </c:strRef>
          </c:cat>
          <c:val>
            <c:numRef>
              <c:f>'Massa PALMA'!$C$13:$C$19</c:f>
              <c:numCache/>
            </c:numRef>
          </c:val>
        </c:ser>
        <c:ser>
          <c:idx val="1"/>
          <c:order val="1"/>
          <c:cat>
            <c:strRef>
              <c:f>'Massa PALMA'!$B$13:$B$19</c:f>
            </c:strRef>
          </c:cat>
          <c:val>
            <c:numRef>
              <c:f>'Massa PALMA'!$P$13:$P$19</c:f>
              <c:numCache/>
            </c:numRef>
          </c:val>
        </c:ser>
        <c:axId val="1929981916"/>
        <c:axId val="698559872"/>
      </c:barChart>
      <c:catAx>
        <c:axId val="192998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8559872"/>
      </c:catAx>
      <c:valAx>
        <c:axId val="69855987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9981916"/>
        <c:majorUnit val="5.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Palma - Base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'Massa PALMA'!$B$13:$B$19</c:f>
            </c:strRef>
          </c:cat>
          <c:val>
            <c:numRef>
              <c:f>'Massa PALMA'!$C$13:$C$19</c:f>
              <c:numCache/>
            </c:numRef>
          </c:val>
        </c:ser>
        <c:ser>
          <c:idx val="1"/>
          <c:order val="1"/>
          <c:cat>
            <c:strRef>
              <c:f>'Massa PALMA'!$B$13:$B$19</c:f>
            </c:strRef>
          </c:cat>
          <c:val>
            <c:numRef>
              <c:f>'Massa PALMA'!$P$28:$P$34</c:f>
              <c:numCache/>
            </c:numRef>
          </c:val>
        </c:ser>
        <c:axId val="775997987"/>
        <c:axId val="34348506"/>
      </c:barChart>
      <c:catAx>
        <c:axId val="775997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348506"/>
      </c:catAx>
      <c:valAx>
        <c:axId val="3434850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5997987"/>
        <c:majorUnit val="5.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Palma - 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'Massa PALMA'!$B$13:$B$19</c:f>
            </c:strRef>
          </c:cat>
          <c:val>
            <c:numRef>
              <c:f>'Massa PALMA'!$C$13:$C$19</c:f>
              <c:numCache/>
            </c:numRef>
          </c:val>
        </c:ser>
        <c:ser>
          <c:idx val="1"/>
          <c:order val="1"/>
          <c:cat>
            <c:strRef>
              <c:f>'Massa PALMA'!$B$13:$B$19</c:f>
            </c:strRef>
          </c:cat>
          <c:val>
            <c:numRef>
              <c:f>'Massa PALMA'!$P$42:$P$48</c:f>
              <c:numCache/>
            </c:numRef>
          </c:val>
        </c:ser>
        <c:axId val="2037031705"/>
        <c:axId val="583253763"/>
      </c:barChart>
      <c:catAx>
        <c:axId val="2037031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3253763"/>
      </c:catAx>
      <c:valAx>
        <c:axId val="58325376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7031705"/>
        <c:majorUnit val="5.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PALMA'!$B$8:$B$21</c:f>
            </c:numRef>
          </c:xVal>
          <c:yVal>
            <c:numRef>
              <c:f>'Tempo PALMA'!$O$8:$O$21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63055"/>
        <c:axId val="259762392"/>
      </c:scatterChart>
      <c:valAx>
        <c:axId val="7366630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9762392"/>
      </c:valAx>
      <c:valAx>
        <c:axId val="259762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6663055"/>
        <c:majorUnit val="20.0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PALMA'!$B$30:$B$43</c:f>
            </c:numRef>
          </c:xVal>
          <c:yVal>
            <c:numRef>
              <c:f>'Tempo PALMA'!$O$30:$O$43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74632"/>
        <c:axId val="92054570"/>
      </c:scatterChart>
      <c:valAx>
        <c:axId val="4048746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054570"/>
      </c:valAx>
      <c:valAx>
        <c:axId val="92054570"/>
        <c:scaling>
          <c:orientation val="minMax"/>
          <c:max val="10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4874632"/>
        <c:majorUnit val="20.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PALMA'!$B$52:$B$65</c:f>
            </c:numRef>
          </c:xVal>
          <c:yVal>
            <c:numRef>
              <c:f>'Tempo PALMA'!$O$52:$O$65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496181"/>
        <c:axId val="1917574276"/>
      </c:scatterChart>
      <c:valAx>
        <c:axId val="7204961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7574276"/>
      </c:valAx>
      <c:valAx>
        <c:axId val="1917574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496181"/>
        <c:majorUnit val="20.0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15 °C</a:t>
            </a:r>
          </a:p>
        </c:rich>
      </c:tx>
      <c:overlay val="0"/>
    </c:title>
    <c:plotArea>
      <c:layout>
        <c:manualLayout>
          <c:xMode val="edge"/>
          <c:yMode val="edge"/>
          <c:x val="0.1754511111111111"/>
          <c:y val="0.18680752940769293"/>
          <c:w val="0.7857433333333333"/>
          <c:h val="0.5692256442869689"/>
        </c:manualLayout>
      </c:layout>
      <c:lineChart>
        <c:ser>
          <c:idx val="0"/>
          <c:order val="0"/>
          <c:tx>
            <c:v>Base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'Conc. e temp PALMA'!$B$15:$B$18</c:f>
            </c:strRef>
          </c:cat>
          <c:val>
            <c:numRef>
              <c:f>'Conc. e temp PALMA'!$N$15:$N$18</c:f>
              <c:numCache/>
            </c:numRef>
          </c:val>
          <c:smooth val="0"/>
        </c:ser>
        <c:ser>
          <c:idx val="1"/>
          <c:order val="1"/>
          <c:tx>
            <c:v>Ácido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PALMA'!$N$25:$N$28</c:f>
              <c:numCache/>
            </c:numRef>
          </c:val>
          <c:smooth val="0"/>
        </c:ser>
        <c:ser>
          <c:idx val="2"/>
          <c:order val="2"/>
          <c:tx>
            <c:v>IN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PALMA'!$N$36:$N$39</c:f>
              <c:numCache/>
            </c:numRef>
          </c:val>
          <c:smooth val="0"/>
        </c:ser>
        <c:axId val="2067820990"/>
        <c:axId val="1916328429"/>
      </c:lineChart>
      <c:catAx>
        <c:axId val="2067820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Remoção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6328429"/>
      </c:catAx>
      <c:valAx>
        <c:axId val="1916328429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Concentrações (ppm)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7820990"/>
        <c:majorUnit val="20.0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30 °C</a:t>
            </a:r>
          </a:p>
        </c:rich>
      </c:tx>
      <c:overlay val="0"/>
    </c:title>
    <c:plotArea>
      <c:layout>
        <c:manualLayout>
          <c:xMode val="edge"/>
          <c:yMode val="edge"/>
          <c:x val="0.1754511111111111"/>
          <c:y val="0.18680752940769293"/>
          <c:w val="0.7857433333333333"/>
          <c:h val="0.5692256442869689"/>
        </c:manualLayout>
      </c:layout>
      <c:lineChart>
        <c:ser>
          <c:idx val="0"/>
          <c:order val="0"/>
          <c:tx>
            <c:v>Base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'Conc. e temp PALMA'!$B$15:$B$18</c:f>
            </c:strRef>
          </c:cat>
          <c:val>
            <c:numRef>
              <c:f>'Conc. e temp PALMA'!$N$53:$N$56</c:f>
              <c:numCache/>
            </c:numRef>
          </c:val>
          <c:smooth val="0"/>
        </c:ser>
        <c:ser>
          <c:idx val="1"/>
          <c:order val="1"/>
          <c:tx>
            <c:v>Ácido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PALMA'!$N$61:$N$64</c:f>
              <c:numCache/>
            </c:numRef>
          </c:val>
          <c:smooth val="0"/>
        </c:ser>
        <c:ser>
          <c:idx val="2"/>
          <c:order val="2"/>
          <c:tx>
            <c:v>IN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PALMA'!$N$45:$N$48</c:f>
              <c:numCache/>
            </c:numRef>
          </c:val>
          <c:smooth val="0"/>
        </c:ser>
        <c:axId val="1911584291"/>
        <c:axId val="299518742"/>
      </c:lineChart>
      <c:catAx>
        <c:axId val="1911584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Remoção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9518742"/>
      </c:catAx>
      <c:valAx>
        <c:axId val="299518742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Concentrações (ppm)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1584291"/>
        <c:majorUnit val="20.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45°C</a:t>
            </a:r>
          </a:p>
        </c:rich>
      </c:tx>
      <c:layout>
        <c:manualLayout>
          <c:xMode val="edge"/>
          <c:yMode val="edge"/>
          <c:x val="0.4576577777777778"/>
          <c:y val="0.03296603460135758"/>
        </c:manualLayout>
      </c:layout>
      <c:overlay val="0"/>
    </c:title>
    <c:plotArea>
      <c:layout>
        <c:manualLayout>
          <c:xMode val="edge"/>
          <c:yMode val="edge"/>
          <c:x val="0.1754511111111111"/>
          <c:y val="0.18680752940769293"/>
          <c:w val="0.7857433333333333"/>
          <c:h val="0.5692256442869689"/>
        </c:manualLayout>
      </c:layout>
      <c:lineChart>
        <c:ser>
          <c:idx val="0"/>
          <c:order val="0"/>
          <c:tx>
            <c:v>Base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'Conc. e temp PALMA'!$B$15:$B$18</c:f>
            </c:strRef>
          </c:cat>
          <c:val>
            <c:numRef>
              <c:f>'Conc. e temp PALMA'!$N$81:$N$84</c:f>
              <c:numCache/>
            </c:numRef>
          </c:val>
          <c:smooth val="0"/>
        </c:ser>
        <c:ser>
          <c:idx val="1"/>
          <c:order val="1"/>
          <c:tx>
            <c:v>Ácido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PALMA'!$N$89:$N$92</c:f>
              <c:numCache/>
            </c:numRef>
          </c:val>
          <c:smooth val="0"/>
        </c:ser>
        <c:ser>
          <c:idx val="2"/>
          <c:order val="2"/>
          <c:tx>
            <c:v>IN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'Conc. e temp PALMA'!$B$15:$B$18</c:f>
            </c:strRef>
          </c:cat>
          <c:val>
            <c:numRef>
              <c:f>'Conc. e temp PALMA'!$N$73:$N$76</c:f>
              <c:numCache/>
            </c:numRef>
          </c:val>
          <c:smooth val="0"/>
        </c:ser>
        <c:axId val="1981875221"/>
        <c:axId val="686822259"/>
      </c:lineChart>
      <c:catAx>
        <c:axId val="1981875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Remoção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6822259"/>
      </c:catAx>
      <c:valAx>
        <c:axId val="686822259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Concentrações (ppm)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1875221"/>
        <c:majorUnit val="20.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Redlich Perterson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PALMA'!$B$155:$B$158</c:f>
            </c:numRef>
          </c:xVal>
          <c:yVal>
            <c:numRef>
              <c:f>'Isotermas PALMA'!$E$155:$E$158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PALMA'!$G$155:$G$158</c:f>
            </c:numRef>
          </c:xVal>
          <c:yVal>
            <c:numRef>
              <c:f>'Isotermas PALMA'!$J$155:$J$158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PALMA'!$L$155:$L$158</c:f>
            </c:numRef>
          </c:xVal>
          <c:yVal>
            <c:numRef>
              <c:f>'Isotermas PALMA'!$O$155:$O$158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77057"/>
        <c:axId val="1231755621"/>
      </c:scatterChart>
      <c:valAx>
        <c:axId val="235377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1755621"/>
      </c:valAx>
      <c:valAx>
        <c:axId val="12317556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(Ce/Qe)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5377057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PALMA'!$B$6:$B$9</c:f>
            </c:numRef>
          </c:xVal>
          <c:yVal>
            <c:numRef>
              <c:f>'Isotermas PALMA'!$D$6:$D$9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PALMA'!$F$6:$F$9</c:f>
            </c:numRef>
          </c:xVal>
          <c:yVal>
            <c:numRef>
              <c:f>'Isotermas PALMA'!$H$6:$H$9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PALMA'!$J$6:$J$9</c:f>
            </c:numRef>
          </c:xVal>
          <c:yVal>
            <c:numRef>
              <c:f>'Isotermas PALMA'!$L$6:$L$9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576182"/>
        <c:axId val="1497830480"/>
      </c:scatterChart>
      <c:valAx>
        <c:axId val="18345761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830480"/>
      </c:valAx>
      <c:valAx>
        <c:axId val="1497830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4576182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PALMA'!$Z$6:$Z$9</c:f>
            </c:numRef>
          </c:xVal>
          <c:yVal>
            <c:numRef>
              <c:f>'Isotermas PALMA'!$AB$6:$AB$9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PALMA'!$AD$6:$AD$9</c:f>
            </c:numRef>
          </c:xVal>
          <c:yVal>
            <c:numRef>
              <c:f>'Isotermas PALMA'!$AF$6:$AF$9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PALMA'!$AH$6:$AH$9</c:f>
            </c:numRef>
          </c:xVal>
          <c:yVal>
            <c:numRef>
              <c:f>'Isotermas PALMA'!$AJ$6:$AJ$9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39935"/>
        <c:axId val="193747610"/>
      </c:scatterChart>
      <c:valAx>
        <c:axId val="938399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747610"/>
      </c:valAx>
      <c:valAx>
        <c:axId val="193747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839935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PALMA'!$AX$6:$AX$9</c:f>
            </c:numRef>
          </c:xVal>
          <c:yVal>
            <c:numRef>
              <c:f>'Isotermas PALMA'!$AZ$6:$AZ$9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PALMA'!$BB$6:$BB$9</c:f>
            </c:numRef>
          </c:xVal>
          <c:yVal>
            <c:numRef>
              <c:f>'Isotermas PALMA'!$BD$6:$BD$9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PALMA'!$BF$6:$BF$9</c:f>
            </c:numRef>
          </c:xVal>
          <c:yVal>
            <c:numRef>
              <c:f>'Isotermas PALMA'!$BH$6:$BH$9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6338"/>
        <c:axId val="484177888"/>
      </c:scatterChart>
      <c:valAx>
        <c:axId val="1454563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4177888"/>
      </c:valAx>
      <c:valAx>
        <c:axId val="484177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56338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PALMA'!$D$19:$D$22</c:f>
            </c:numRef>
          </c:xVal>
          <c:yVal>
            <c:numRef>
              <c:f>'Isotermas PALMA'!$E$19:$E$22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PALMA'!$I$19:$I$22</c:f>
            </c:numRef>
          </c:xVal>
          <c:yVal>
            <c:numRef>
              <c:f>'Isotermas PALMA'!$J$19:$J$22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PALMA'!$N$19:$N$22</c:f>
            </c:numRef>
          </c:xVal>
          <c:yVal>
            <c:numRef>
              <c:f>'Isotermas PALMA'!$O$19:$O$22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606075"/>
        <c:axId val="2064952007"/>
      </c:scatterChart>
      <c:valAx>
        <c:axId val="1895606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4952007"/>
      </c:valAx>
      <c:valAx>
        <c:axId val="2064952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5606075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PALMA'!$AB$19:$AB$22</c:f>
            </c:numRef>
          </c:xVal>
          <c:yVal>
            <c:numRef>
              <c:f>'Isotermas PALMA'!$AC$19:$AC$22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PALMA'!$AG$19:$AG$22</c:f>
            </c:numRef>
          </c:xVal>
          <c:yVal>
            <c:numRef>
              <c:f>'Isotermas PALMA'!$AH$19:$AH$22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PALMA'!$AL$19:$AL$22</c:f>
            </c:numRef>
          </c:xVal>
          <c:yVal>
            <c:numRef>
              <c:f>'Isotermas PALMA'!$AM$19:$AM$22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41775"/>
        <c:axId val="505044094"/>
      </c:scatterChart>
      <c:valAx>
        <c:axId val="905641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5044094"/>
      </c:valAx>
      <c:valAx>
        <c:axId val="505044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5641775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PALMA'!$AZ$19:$AZ$22</c:f>
            </c:numRef>
          </c:xVal>
          <c:yVal>
            <c:numRef>
              <c:f>'Isotermas PALMA'!$BA$19:$BA$22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PALMA'!$BE$19:$BE$22</c:f>
            </c:numRef>
          </c:xVal>
          <c:yVal>
            <c:numRef>
              <c:f>'Isotermas PALMA'!$BF$19:$BF$22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PALMA'!$BJ$19:$BJ$22</c:f>
            </c:numRef>
          </c:xVal>
          <c:yVal>
            <c:numRef>
              <c:f>'Isotermas PALMA'!$BK$19:$BK$22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937153"/>
        <c:axId val="839702406"/>
      </c:scatterChart>
      <c:valAx>
        <c:axId val="7319371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9702406"/>
      </c:valAx>
      <c:valAx>
        <c:axId val="83970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1937153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PALMA'!$C$32:$C$35</c:f>
            </c:numRef>
          </c:xVal>
          <c:yVal>
            <c:numRef>
              <c:f>'Isotermas PALMA'!$B$32:$B$35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PALMA'!$H$32:$H$35</c:f>
            </c:numRef>
          </c:xVal>
          <c:yVal>
            <c:numRef>
              <c:f>'Isotermas PALMA'!$G$32:$G$35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PALMA'!$M$32:$M$35</c:f>
            </c:numRef>
          </c:xVal>
          <c:yVal>
            <c:numRef>
              <c:f>'Isotermas PALMA'!$L$32:$L$35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364160"/>
        <c:axId val="465918158"/>
      </c:scatterChart>
      <c:valAx>
        <c:axId val="18513641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5918158"/>
      </c:valAx>
      <c:valAx>
        <c:axId val="465918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136416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PALMA'!$AA$32:$AA$35</c:f>
            </c:numRef>
          </c:xVal>
          <c:yVal>
            <c:numRef>
              <c:f>'Isotermas PALMA'!$Z$32:$Z$35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PALMA'!$AF$32:$AF$35</c:f>
            </c:numRef>
          </c:xVal>
          <c:yVal>
            <c:numRef>
              <c:f>'Isotermas PALMA'!$AE$32:$AE$35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PALMA'!$AK$32:$AK$35</c:f>
            </c:numRef>
          </c:xVal>
          <c:yVal>
            <c:numRef>
              <c:f>'Isotermas PALMA'!$AJ$32:$AJ$35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553774"/>
        <c:axId val="995152368"/>
      </c:scatterChart>
      <c:valAx>
        <c:axId val="16415537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5152368"/>
      </c:valAx>
      <c:valAx>
        <c:axId val="995152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1553774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PALMA'!$AY$32:$AY$35</c:f>
            </c:numRef>
          </c:xVal>
          <c:yVal>
            <c:numRef>
              <c:f>'Isotermas PALMA'!$AX$32:$AX$35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PALMA'!$BD$32:$BD$35</c:f>
            </c:numRef>
          </c:xVal>
          <c:yVal>
            <c:numRef>
              <c:f>'Isotermas PALMA'!$BC$32:$BC$35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PALMA'!$BI$32:$BI$35</c:f>
            </c:numRef>
          </c:xVal>
          <c:yVal>
            <c:numRef>
              <c:f>'Isotermas PALMA'!$BH$32:$BH$35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20201"/>
        <c:axId val="258622924"/>
      </c:scatterChart>
      <c:valAx>
        <c:axId val="14466202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8622924"/>
      </c:valAx>
      <c:valAx>
        <c:axId val="258622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6620201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layout>
        <c:manualLayout>
          <c:xMode val="edge"/>
          <c:yMode val="edge"/>
          <c:x val="0.43447769953051646"/>
          <c:y val="0.037056643726839596"/>
        </c:manualLayout>
      </c:layout>
      <c:overlay val="0"/>
    </c:title>
    <c:plotArea>
      <c:layout>
        <c:manualLayout>
          <c:xMode val="edge"/>
          <c:yMode val="edge"/>
          <c:x val="0.1321735262717206"/>
          <c:y val="0.19634727368978297"/>
          <c:w val="0.7912397265223092"/>
          <c:h val="0.5685902218813437"/>
        </c:manualLayout>
      </c:layout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PALMA'!$B$45:$B$48</c:f>
            </c:numRef>
          </c:xVal>
          <c:yVal>
            <c:numRef>
              <c:f>'Isotermas PALMA'!$C$45:$C$48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PALMA'!$G$45:$G$48</c:f>
            </c:numRef>
          </c:xVal>
          <c:yVal>
            <c:numRef>
              <c:f>'Isotermas PALMA'!$H$45:$H$48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PALMA'!$L$45:$L$48</c:f>
            </c:numRef>
          </c:xVal>
          <c:yVal>
            <c:numRef>
              <c:f>'Isotermas PALMA'!$M$45:$M$48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037790"/>
        <c:axId val="1024481714"/>
      </c:scatterChart>
      <c:valAx>
        <c:axId val="19830377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4481714"/>
      </c:valAx>
      <c:valAx>
        <c:axId val="1024481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3037790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PALMA'!$Z$45:$Z$48</c:f>
            </c:numRef>
          </c:xVal>
          <c:yVal>
            <c:numRef>
              <c:f>'Isotermas PALMA'!$AA$45:$AA$48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PALMA'!$AE$45:$AE$48</c:f>
            </c:numRef>
          </c:xVal>
          <c:yVal>
            <c:numRef>
              <c:f>'Isotermas PALMA'!$AF$45:$AF$48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PALMA'!$AJ$45:$AJ$48</c:f>
            </c:numRef>
          </c:xVal>
          <c:yVal>
            <c:numRef>
              <c:f>'Isotermas PALMA'!$AK$45:$AK$48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603859"/>
        <c:axId val="448931446"/>
      </c:scatterChart>
      <c:valAx>
        <c:axId val="18146038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8931446"/>
      </c:valAx>
      <c:valAx>
        <c:axId val="448931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4603859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PALMA'!$AX$45:$AX$48</c:f>
            </c:numRef>
          </c:xVal>
          <c:yVal>
            <c:numRef>
              <c:f>'Isotermas PALMA'!$AY$45:$AY$48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PALMA'!$BC$45:$BC$48</c:f>
            </c:numRef>
          </c:xVal>
          <c:yVal>
            <c:numRef>
              <c:f>'Isotermas PALMA'!$BD$45:$BD$48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PALMA'!$BH$45:$BH$48</c:f>
            </c:numRef>
          </c:xVal>
          <c:yVal>
            <c:numRef>
              <c:f>'Isotermas PALMA'!$BI$45:$BI$48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928980"/>
        <c:axId val="470803183"/>
      </c:scatterChart>
      <c:valAx>
        <c:axId val="9039289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0803183"/>
      </c:valAx>
      <c:valAx>
        <c:axId val="470803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3928980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layout>
        <c:manualLayout>
          <c:xMode val="edge"/>
          <c:yMode val="edge"/>
          <c:x val="0.43447769953051646"/>
          <c:y val="0.037056643726839596"/>
        </c:manualLayout>
      </c:layout>
      <c:overlay val="0"/>
    </c:title>
    <c:plotArea>
      <c:layout>
        <c:manualLayout>
          <c:xMode val="edge"/>
          <c:yMode val="edge"/>
          <c:x val="0.1321735262717206"/>
          <c:y val="0.19634727368978297"/>
          <c:w val="0.7912397265223092"/>
          <c:h val="0.5685902218813437"/>
        </c:manualLayout>
      </c:layout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PALMA'!$D$127:$D$130</c:f>
            </c:numRef>
          </c:xVal>
          <c:yVal>
            <c:numRef>
              <c:f>'Isotermas PALMA'!$E$127:$E$130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PALMA'!$I$127:$I$130</c:f>
            </c:numRef>
          </c:xVal>
          <c:yVal>
            <c:numRef>
              <c:f>'Isotermas PALMA'!$J$127:$J$130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PALMA'!$N$127:$N$130</c:f>
            </c:numRef>
          </c:xVal>
          <c:yVal>
            <c:numRef>
              <c:f>'Isotermas PALMA'!$O$127:$O$130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283244"/>
        <c:axId val="1883649661"/>
      </c:scatterChart>
      <c:valAx>
        <c:axId val="13732832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3649661"/>
      </c:valAx>
      <c:valAx>
        <c:axId val="1883649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3283244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PALMA'!$D$197:$D$200</c:f>
            </c:numRef>
          </c:xVal>
          <c:yVal>
            <c:numRef>
              <c:f>'Isotermas PALMA'!$E$197:$E$200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PALMA'!$I$197:$I$200</c:f>
            </c:numRef>
          </c:xVal>
          <c:yVal>
            <c:numRef>
              <c:f>'Isotermas PALMA'!$J$197:$J$200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PALMA'!$N$197:$N$200</c:f>
            </c:numRef>
          </c:xVal>
          <c:yVal>
            <c:numRef>
              <c:f>'Isotermas PALMA'!$O$197:$O$200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988755"/>
        <c:axId val="1713660678"/>
      </c:scatterChart>
      <c:valAx>
        <c:axId val="1907988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3660678"/>
      </c:valAx>
      <c:valAx>
        <c:axId val="17136606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7988755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PALMA'!$AB$127:$AB$130</c:f>
            </c:numRef>
          </c:xVal>
          <c:yVal>
            <c:numRef>
              <c:f>'Isotermas PALMA'!$AC$127:$AC$130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PALMA'!$AG$127:$AG$130</c:f>
            </c:numRef>
          </c:xVal>
          <c:yVal>
            <c:numRef>
              <c:f>'Isotermas PALMA'!$AH$127:$AH$130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PALMA'!$AL$127:$AL$130</c:f>
            </c:numRef>
          </c:xVal>
          <c:yVal>
            <c:numRef>
              <c:f>'Isotermas PALMA'!$AM$127:$AM$130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442299"/>
        <c:axId val="533648347"/>
      </c:scatterChart>
      <c:valAx>
        <c:axId val="1988442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3648347"/>
      </c:valAx>
      <c:valAx>
        <c:axId val="533648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8442299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PALMA'!$AZ$127:$AZ$130</c:f>
            </c:numRef>
          </c:xVal>
          <c:yVal>
            <c:numRef>
              <c:f>'Isotermas PALMA'!$BA$127:$BA$130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PALMA'!$BE$127:$BE$130</c:f>
            </c:numRef>
          </c:xVal>
          <c:yVal>
            <c:numRef>
              <c:f>'Isotermas PALMA'!$BF$127:$BF$130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PALMA'!$BJ$127:$BJ$130</c:f>
            </c:numRef>
          </c:xVal>
          <c:yVal>
            <c:numRef>
              <c:f>'Isotermas PALMA'!$BK$127:$BK$130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181820"/>
        <c:axId val="545883269"/>
      </c:scatterChart>
      <c:valAx>
        <c:axId val="19151818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5883269"/>
      </c:valAx>
      <c:valAx>
        <c:axId val="545883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5181820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PALMA'!$AB$197:$AB$200</c:f>
            </c:numRef>
          </c:xVal>
          <c:yVal>
            <c:numRef>
              <c:f>'Isotermas PALMA'!$AC$197:$AC$200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PALMA'!$AG$197:$AG$200</c:f>
            </c:numRef>
          </c:xVal>
          <c:yVal>
            <c:numRef>
              <c:f>'Isotermas PALMA'!$AH$197:$AH$200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PALMA'!$AL$197:$AL$200</c:f>
            </c:numRef>
          </c:xVal>
          <c:yVal>
            <c:numRef>
              <c:f>'Isotermas PALMA'!$AM$197:$AM$200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352509"/>
        <c:axId val="689518961"/>
      </c:scatterChart>
      <c:valAx>
        <c:axId val="7143525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9518961"/>
      </c:valAx>
      <c:valAx>
        <c:axId val="689518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4352509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PALMA'!$AZ$197:$AZ$200</c:f>
            </c:numRef>
          </c:xVal>
          <c:yVal>
            <c:numRef>
              <c:f>'Isotermas PALMA'!$BA$197:$BA$200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PALMA'!$BE$197:$BE$200</c:f>
            </c:numRef>
          </c:xVal>
          <c:yVal>
            <c:numRef>
              <c:f>'Isotermas PALMA'!$BF$197:$BF$200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PALMA'!$BJ$197:$BJ$200</c:f>
            </c:numRef>
          </c:xVal>
          <c:yVal>
            <c:numRef>
              <c:f>'Isotermas PALMA'!$BK$197:$BK$200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23620"/>
        <c:axId val="579434662"/>
      </c:scatterChart>
      <c:valAx>
        <c:axId val="446223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9434662"/>
      </c:valAx>
      <c:valAx>
        <c:axId val="579434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6223620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PALMA'!$C$8:$C$11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PALMA'!$D$8:$D$11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PALMA'!$E$8:$E$11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PALMA'!$F$8:$F$11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PALMA'!$G$8:$G$11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PALMA'!$H$8:$H$11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PALMA'!$B$8:$B$11</c:f>
            </c:numRef>
          </c:xVal>
          <c:yVal>
            <c:numRef>
              <c:f>'Ce x Qe PALMA'!$I$8:$I$11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115971"/>
        <c:axId val="1309629359"/>
      </c:scatterChart>
      <c:valAx>
        <c:axId val="78311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9629359"/>
      </c:valAx>
      <c:valAx>
        <c:axId val="1309629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311597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PALMA'!$C$23:$C$26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PALMA'!$D$23:$D$26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PALMA'!$E$23:$E$26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PALMA'!$F$23:$F$26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PALMA'!$G$23:$G$26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PALMA'!$H$23:$H$26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PALMA'!$B$23:$B$26</c:f>
            </c:numRef>
          </c:xVal>
          <c:yVal>
            <c:numRef>
              <c:f>'Ce x Qe PALMA'!$I$23:$I$26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638371"/>
        <c:axId val="707201594"/>
      </c:scatterChart>
      <c:valAx>
        <c:axId val="618638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7201594"/>
      </c:valAx>
      <c:valAx>
        <c:axId val="7072015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863837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PALMA'!$C$38:$C$41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PALMA'!$D$38:$D$41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PALMA'!$E$38:$E$41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PALMA'!$F$38:$F$41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PALMA'!$G$38:$G$41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PALMA'!$H$38:$H$41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PALMA'!$B$38:$B$41</c:f>
            </c:numRef>
          </c:xVal>
          <c:yVal>
            <c:numRef>
              <c:f>'Ce x Qe PALMA'!$I$38:$I$41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5618"/>
        <c:axId val="2072592922"/>
      </c:scatterChart>
      <c:valAx>
        <c:axId val="22415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2592922"/>
      </c:valAx>
      <c:valAx>
        <c:axId val="2072592922"/>
        <c:scaling>
          <c:orientation val="minMax"/>
          <c:max val="35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41561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PALMA'!$C$54:$C$57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PALMA'!$D$54:$D$57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PALMA'!$E$54:$E$57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PALMA'!$F$54:$F$57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PALMA'!$G$54:$G$57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PALMA'!$H$54:$H$57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PALMA'!$B$54:$B$57</c:f>
            </c:numRef>
          </c:xVal>
          <c:yVal>
            <c:numRef>
              <c:f>'Ce x Qe PALMA'!$I$54:$I$57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09592"/>
        <c:axId val="685666681"/>
      </c:scatterChart>
      <c:valAx>
        <c:axId val="391309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5666681"/>
      </c:valAx>
      <c:valAx>
        <c:axId val="6856666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130959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PALMA'!$C$69:$C$72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PALMA'!$D$69:$D$72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PALMA'!$E$69:$E$72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PALMA'!$F$69:$F$72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PALMA'!$G$69:$G$72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PALMA'!$H$69:$H$72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PALMA'!$B$69:$B$72</c:f>
            </c:numRef>
          </c:xVal>
          <c:yVal>
            <c:numRef>
              <c:f>'Ce x Qe PALMA'!$I$69:$I$72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476440"/>
        <c:axId val="786080532"/>
      </c:scatterChart>
      <c:valAx>
        <c:axId val="1868476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6080532"/>
      </c:valAx>
      <c:valAx>
        <c:axId val="7860805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847644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PALMA'!$C$84:$C$87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PALMA'!$D$84:$D$87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PALMA'!$E$84:$E$87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PALMA'!$F$84:$F$87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PALMA'!$G$84:$G$87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PALMA'!$H$84:$H$87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PALMA'!$B$84:$B$87</c:f>
            </c:numRef>
          </c:xVal>
          <c:yVal>
            <c:numRef>
              <c:f>'Ce x Qe PALMA'!$I$84:$I$87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256761"/>
        <c:axId val="883567197"/>
      </c:scatterChart>
      <c:valAx>
        <c:axId val="2028256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567197"/>
      </c:valAx>
      <c:valAx>
        <c:axId val="883567197"/>
        <c:scaling>
          <c:orientation val="minMax"/>
          <c:max val="6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825676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PALMA'!$C$100:$C$103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PALMA'!$D$100:$D$103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PALMA'!$E$100:$E$103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PALMA'!$F$100:$F$103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PALMA'!$G$100:$G$103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PALMA'!$H$100:$H$103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PALMA'!$B$100:$B$103</c:f>
            </c:numRef>
          </c:xVal>
          <c:yVal>
            <c:numRef>
              <c:f>'Ce x Qe PALMA'!$I$100:$I$103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187174"/>
        <c:axId val="158714269"/>
      </c:scatterChart>
      <c:valAx>
        <c:axId val="1256187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714269"/>
      </c:valAx>
      <c:valAx>
        <c:axId val="1587142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618717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PALMA'!$C$115:$C$118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PALMA'!$D$115:$D$118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PALMA'!$E$115:$E$118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PALMA'!$F$115:$F$118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PALMA'!$G$115:$G$118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PALMA'!$H$115:$H$118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PALMA'!$B$115:$B$118</c:f>
            </c:numRef>
          </c:xVal>
          <c:yVal>
            <c:numRef>
              <c:f>'Ce x Qe PALMA'!$I$115:$I$118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4801"/>
        <c:axId val="1025834072"/>
      </c:scatterChart>
      <c:valAx>
        <c:axId val="56594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5834072"/>
      </c:valAx>
      <c:valAx>
        <c:axId val="1025834072"/>
        <c:scaling>
          <c:orientation val="minMax"/>
          <c:max val="3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59480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PALMA'!$C$130:$C$133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PALMA'!$D$130:$D$133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PALMA'!$E$130:$E$133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PALMA'!$F$130:$F$133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PALMA'!$G$130:$G$133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PALMA'!$H$130:$H$133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PALMA'!$B$130:$B$133</c:f>
            </c:numRef>
          </c:xVal>
          <c:yVal>
            <c:numRef>
              <c:f>'Ce x Qe PALMA'!$I$130:$I$133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30660"/>
        <c:axId val="1533977244"/>
      </c:scatterChart>
      <c:valAx>
        <c:axId val="1627330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3977244"/>
      </c:valAx>
      <c:valAx>
        <c:axId val="1533977244"/>
        <c:scaling>
          <c:orientation val="minMax"/>
          <c:max val="27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73306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Vagem'!$B$9:$B$13</c:f>
            </c:strRef>
          </c:cat>
          <c:val>
            <c:numRef>
              <c:f>'pH Vagem'!$P$9:$P$13</c:f>
              <c:numCache/>
            </c:numRef>
          </c:val>
        </c:ser>
        <c:axId val="1410691442"/>
        <c:axId val="1981353534"/>
      </c:barChart>
      <c:catAx>
        <c:axId val="1410691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1353534"/>
      </c:catAx>
      <c:valAx>
        <c:axId val="1981353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0691442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Vagem'!$B$9:$B$13</c:f>
            </c:strRef>
          </c:cat>
          <c:val>
            <c:numRef>
              <c:f>'pH Vagem'!$P$21:$P$25</c:f>
              <c:numCache/>
            </c:numRef>
          </c:val>
        </c:ser>
        <c:axId val="661329683"/>
        <c:axId val="690823781"/>
      </c:barChart>
      <c:catAx>
        <c:axId val="661329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823781"/>
      </c:catAx>
      <c:valAx>
        <c:axId val="69082378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1329683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'pH Vagem'!$B$9:$B$13</c:f>
            </c:strRef>
          </c:cat>
          <c:val>
            <c:numRef>
              <c:f>'pH Vagem'!$P$34:$P$38</c:f>
              <c:numCache/>
            </c:numRef>
          </c:val>
        </c:ser>
        <c:axId val="1294713934"/>
        <c:axId val="1006310590"/>
      </c:barChart>
      <c:catAx>
        <c:axId val="129471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6310590"/>
      </c:catAx>
      <c:valAx>
        <c:axId val="1006310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4713934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Vagem- Ácido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noFill/>
            </a:ln>
          </c:spPr>
          <c:cat>
            <c:strRef>
              <c:f>'Massa Vagem'!$B$13:$B$16</c:f>
            </c:strRef>
          </c:cat>
          <c:val>
            <c:numRef>
              <c:f>'Massa Vagem'!$P$13:$P$16</c:f>
              <c:numCache/>
            </c:numRef>
          </c:val>
        </c:ser>
        <c:axId val="1773460558"/>
        <c:axId val="1700001780"/>
      </c:barChart>
      <c:catAx>
        <c:axId val="1773460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0001780"/>
      </c:catAx>
      <c:valAx>
        <c:axId val="1700001780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3460558"/>
        <c:majorUnit val="5.0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Vagem- Base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noFill/>
            </a:ln>
          </c:spPr>
          <c:cat>
            <c:strRef>
              <c:f>'Massa Vagem'!$B$13:$B$16</c:f>
            </c:strRef>
          </c:cat>
          <c:val>
            <c:numRef>
              <c:f>'Massa Vagem'!$P$25:$P$28</c:f>
              <c:numCache/>
            </c:numRef>
          </c:val>
        </c:ser>
        <c:axId val="1361983707"/>
        <c:axId val="723125240"/>
      </c:barChart>
      <c:catAx>
        <c:axId val="1361983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3125240"/>
      </c:catAx>
      <c:valAx>
        <c:axId val="723125240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1983707"/>
        <c:majorUnit val="5.0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Vagem- In Natura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noFill/>
            </a:ln>
          </c:spPr>
          <c:cat>
            <c:strRef>
              <c:f>'Massa Vagem'!$B$13:$B$16</c:f>
            </c:strRef>
          </c:cat>
          <c:val>
            <c:numRef>
              <c:f>'Massa Vagem'!$P$36:$P$39</c:f>
              <c:numCache/>
            </c:numRef>
          </c:val>
        </c:ser>
        <c:axId val="1801592717"/>
        <c:axId val="1337063601"/>
      </c:barChart>
      <c:catAx>
        <c:axId val="1801592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7063601"/>
      </c:catAx>
      <c:valAx>
        <c:axId val="1337063601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1592717"/>
        <c:majorUnit val="5.0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(Vagem)'!$C$11:$C$24</c:f>
            </c:numRef>
          </c:xVal>
          <c:yVal>
            <c:numRef>
              <c:f>'Tempo (Vagem)'!$P$11:$P$24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372625"/>
        <c:axId val="1073068313"/>
      </c:scatterChart>
      <c:valAx>
        <c:axId val="20233726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3068313"/>
      </c:valAx>
      <c:valAx>
        <c:axId val="1073068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3372625"/>
        <c:majorUnit val="20.0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(Vagem)'!$C$33:$C$46</c:f>
            </c:numRef>
          </c:xVal>
          <c:yVal>
            <c:numRef>
              <c:f>'Tempo (Vagem)'!$P$33:$P$46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740098"/>
        <c:axId val="88396079"/>
      </c:scatterChart>
      <c:valAx>
        <c:axId val="16817400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96079"/>
      </c:valAx>
      <c:valAx>
        <c:axId val="88396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1740098"/>
        <c:majorUnit val="20.0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(Vagem)'!$C$55:$C$68</c:f>
            </c:numRef>
          </c:xVal>
          <c:yVal>
            <c:numRef>
              <c:f>'Tempo (Vagem)'!$P$55:$P$68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701433"/>
        <c:axId val="100016037"/>
      </c:scatterChart>
      <c:valAx>
        <c:axId val="836701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016037"/>
      </c:valAx>
      <c:valAx>
        <c:axId val="100016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6701433"/>
        <c:majorUnit val="20.0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 2)'!$B$12:$B$25</c:f>
            </c:numRef>
          </c:xVal>
          <c:yVal>
            <c:numRef>
              <c:f>'Tempo (Vagem 2)'!$O$12:$O$25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478794"/>
        <c:axId val="112759710"/>
      </c:scatterChart>
      <c:valAx>
        <c:axId val="9864787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759710"/>
      </c:valAx>
      <c:valAx>
        <c:axId val="11275971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6478794"/>
        <c:majorUnit val="20.0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 2)'!$B$34:$B$47</c:f>
            </c:numRef>
          </c:xVal>
          <c:yVal>
            <c:numRef>
              <c:f>'Tempo (Vagem 2)'!$O$34:$O$47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78564"/>
        <c:axId val="1633276313"/>
      </c:scatterChart>
      <c:valAx>
        <c:axId val="2026378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3276313"/>
      </c:valAx>
      <c:valAx>
        <c:axId val="163327631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6378564"/>
        <c:majorUnit val="20.0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Remoção do Azul de Metileno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(Vagem 2)'!$B$56:$B$69</c:f>
            </c:numRef>
          </c:xVal>
          <c:yVal>
            <c:numRef>
              <c:f>'Tempo (Vagem 2)'!$O$56:$O$69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96680"/>
        <c:axId val="786114297"/>
      </c:scatterChart>
      <c:valAx>
        <c:axId val="1819896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Tempo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6114297"/>
      </c:valAx>
      <c:valAx>
        <c:axId val="78611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Remoção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9896680"/>
        <c:majorUnit val="20.0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Remoção do Azul de Metileno
Vagem Base</a:t>
            </a:r>
          </a:p>
        </c:rich>
      </c:tx>
      <c:layout>
        <c:manualLayout>
          <c:xMode val="edge"/>
          <c:yMode val="edge"/>
          <c:x val="0.2578888888888889"/>
          <c:y val="0.03683241252302026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pH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ph 6 e 10'!$B$5:$B$18</c:f>
            </c:numRef>
          </c:xVal>
          <c:yVal>
            <c:numRef>
              <c:f>'tempo ph 6 e 10'!$C$5:$C$18</c:f>
              <c:numCache/>
            </c:numRef>
          </c:yVal>
        </c:ser>
        <c:ser>
          <c:idx val="1"/>
          <c:order val="1"/>
          <c:tx>
            <c:v>pH10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'tempo ph 6 e 10'!$B$5:$B$18</c:f>
            </c:numRef>
          </c:xVal>
          <c:yVal>
            <c:numRef>
              <c:f>'tempo ph 6 e 10'!$D$5:$D$18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242145"/>
        <c:axId val="595001625"/>
      </c:scatterChart>
      <c:valAx>
        <c:axId val="5782421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5001625"/>
      </c:valAx>
      <c:valAx>
        <c:axId val="595001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824214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Remoção do Azul de Metileno
Vagem Ácido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pH  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ph 6 e 10'!$B$25:$B$38</c:f>
            </c:numRef>
          </c:xVal>
          <c:yVal>
            <c:numRef>
              <c:f>'tempo ph 6 e 10'!$C$25:$C$38</c:f>
              <c:numCache/>
            </c:numRef>
          </c:yVal>
        </c:ser>
        <c:ser>
          <c:idx val="1"/>
          <c:order val="1"/>
          <c:tx>
            <c:v>pH  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'tempo ph 6 e 10'!$B$25:$B$38</c:f>
            </c:numRef>
          </c:xVal>
          <c:yVal>
            <c:numRef>
              <c:f>'tempo ph 6 e 10'!$D$25:$D$38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88661"/>
        <c:axId val="620055201"/>
      </c:scatterChart>
      <c:valAx>
        <c:axId val="124388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0055201"/>
      </c:valAx>
      <c:valAx>
        <c:axId val="620055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38866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Remoção do Azul de Metileno
Vagem In Natura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pH 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'tempo ph 6 e 10'!$B$48:$B$61</c:f>
            </c:numRef>
          </c:xVal>
          <c:yVal>
            <c:numRef>
              <c:f>'tempo ph 6 e 10'!$C$48:$C$61</c:f>
              <c:numCache/>
            </c:numRef>
          </c:yVal>
        </c:ser>
        <c:ser>
          <c:idx val="1"/>
          <c:order val="1"/>
          <c:tx>
            <c:v>pH 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'tempo ph 6 e 10'!$B$48:$B$61</c:f>
            </c:numRef>
          </c:xVal>
          <c:yVal>
            <c:numRef>
              <c:f>'tempo ph 6 e 10'!$D$48:$D$61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881353"/>
        <c:axId val="955399367"/>
      </c:scatterChart>
      <c:valAx>
        <c:axId val="3148813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5399367"/>
      </c:valAx>
      <c:valAx>
        <c:axId val="955399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48813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Redlich Perterson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77352660"/>
        <c:axId val="1461956317"/>
      </c:scatterChart>
      <c:valAx>
        <c:axId val="377352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1956317"/>
      </c:valAx>
      <c:valAx>
        <c:axId val="14619563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77352660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VAGEM'!$B$6:$B$9</c:f>
            </c:numRef>
          </c:xVal>
          <c:yVal>
            <c:numRef>
              <c:f>'Isotermas VAGEM'!$D$6:$D$9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VAGEM'!$F$6:$F$9</c:f>
            </c:numRef>
          </c:xVal>
          <c:yVal>
            <c:numRef>
              <c:f>'Isotermas VAGEM'!$H$6:$H$9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VAGEM'!$J$6:$J$9</c:f>
            </c:numRef>
          </c:xVal>
          <c:yVal>
            <c:numRef>
              <c:f>'Isotermas VAGEM'!$L$6:$L$9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8690"/>
        <c:axId val="1178740864"/>
      </c:scatterChart>
      <c:valAx>
        <c:axId val="258486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8740864"/>
      </c:valAx>
      <c:valAx>
        <c:axId val="1178740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848690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VAGEM'!$Z$6:$Z$9</c:f>
            </c:numRef>
          </c:xVal>
          <c:yVal>
            <c:numRef>
              <c:f>'Isotermas VAGEM'!$AB$6:$AB$9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VAGEM'!$AD$6:$AD$9</c:f>
            </c:numRef>
          </c:xVal>
          <c:yVal>
            <c:numRef>
              <c:f>'Isotermas VAGEM'!$AF$6:$AF$9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VAGEM'!$AH$6:$AH$9</c:f>
            </c:numRef>
          </c:xVal>
          <c:yVal>
            <c:numRef>
              <c:f>'Isotermas VAGEM'!$AJ$6:$AJ$9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324780"/>
        <c:axId val="1427521945"/>
      </c:scatterChart>
      <c:valAx>
        <c:axId val="16553247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521945"/>
      </c:valAx>
      <c:valAx>
        <c:axId val="1427521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5324780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Langmuir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VAGEM'!$AX$6:$AX$9</c:f>
            </c:numRef>
          </c:xVal>
          <c:yVal>
            <c:numRef>
              <c:f>'Isotermas VAGEM'!$AZ$6:$AZ$9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VAGEM'!$BB$6:$BB$9</c:f>
            </c:numRef>
          </c:xVal>
          <c:yVal>
            <c:numRef>
              <c:f>'Isotermas VAGEM'!$BD$6:$BD$9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VAGEM'!$BF$6:$BF$9</c:f>
            </c:numRef>
          </c:xVal>
          <c:yVal>
            <c:numRef>
              <c:f>'Isotermas VAGEM'!$BH$6:$BH$9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317424"/>
        <c:axId val="1152915474"/>
      </c:scatterChart>
      <c:valAx>
        <c:axId val="1907317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2915474"/>
      </c:valAx>
      <c:valAx>
        <c:axId val="1152915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7317424"/>
      </c:valAx>
    </c:plotArea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VAGEM'!$D$19:$D$22</c:f>
            </c:numRef>
          </c:xVal>
          <c:yVal>
            <c:numRef>
              <c:f>'Isotermas VAGEM'!$E$19:$E$22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VAGEM'!$I$19:$I$22</c:f>
            </c:numRef>
          </c:xVal>
          <c:yVal>
            <c:numRef>
              <c:f>'Isotermas VAGEM'!$J$19:$J$22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VAGEM'!$N$19:$N$22</c:f>
            </c:numRef>
          </c:xVal>
          <c:yVal>
            <c:numRef>
              <c:f>'Isotermas VAGEM'!$O$19:$O$22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580291"/>
        <c:axId val="90031572"/>
      </c:scatterChart>
      <c:valAx>
        <c:axId val="17375802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031572"/>
      </c:valAx>
      <c:valAx>
        <c:axId val="90031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7580291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VAGEM'!$AB$19:$AB$22</c:f>
            </c:numRef>
          </c:xVal>
          <c:yVal>
            <c:numRef>
              <c:f>'Isotermas VAGEM'!$AC$19:$AC$22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VAGEM'!$AG$19:$AG$22</c:f>
            </c:numRef>
          </c:xVal>
          <c:yVal>
            <c:numRef>
              <c:f>'Isotermas VAGEM'!$AH$19:$AH$22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VAGEM'!$AL$19:$AL$22</c:f>
            </c:numRef>
          </c:xVal>
          <c:yVal>
            <c:numRef>
              <c:f>'Isotermas VAGEM'!$AM$19:$AM$22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56851"/>
        <c:axId val="386566653"/>
      </c:scatterChart>
      <c:valAx>
        <c:axId val="8055568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6566653"/>
      </c:valAx>
      <c:valAx>
        <c:axId val="38656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5556851"/>
      </c:valAx>
    </c:plotArea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Freundlich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VAGEM'!$AZ$19:$AZ$22</c:f>
            </c:numRef>
          </c:xVal>
          <c:yVal>
            <c:numRef>
              <c:f>'Isotermas VAGEM'!$BA$19:$BA$22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VAGEM'!$BE$19:$BE$22</c:f>
            </c:numRef>
          </c:xVal>
          <c:yVal>
            <c:numRef>
              <c:f>'Isotermas VAGEM'!$BF$19:$BF$22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VAGEM'!$BJ$19:$BJ$22</c:f>
            </c:numRef>
          </c:xVal>
          <c:yVal>
            <c:numRef>
              <c:f>'Isotermas VAGEM'!$BK$19:$BK$22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614880"/>
        <c:axId val="1858678468"/>
      </c:scatterChart>
      <c:valAx>
        <c:axId val="17546148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8678468"/>
      </c:valAx>
      <c:valAx>
        <c:axId val="1858678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Ce/Qe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4614880"/>
      </c:valAx>
    </c:plotArea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VAGEM'!$C$32:$C$35</c:f>
            </c:numRef>
          </c:xVal>
          <c:yVal>
            <c:numRef>
              <c:f>'Isotermas VAGEM'!$B$32:$B$35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VAGEM'!$H$32:$H$35</c:f>
            </c:numRef>
          </c:xVal>
          <c:yVal>
            <c:numRef>
              <c:f>'Isotermas VAGEM'!$G$32:$G$35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VAGEM'!$M$32:$M$35</c:f>
            </c:numRef>
          </c:xVal>
          <c:yVal>
            <c:numRef>
              <c:f>'Isotermas VAGEM'!$L$32:$L$35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442349"/>
        <c:axId val="1612204768"/>
      </c:scatterChart>
      <c:valAx>
        <c:axId val="13334423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2204768"/>
      </c:valAx>
      <c:valAx>
        <c:axId val="1612204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3442349"/>
      </c:valAx>
    </c:plotArea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VAGEM'!$AA$32:$AA$35</c:f>
            </c:numRef>
          </c:xVal>
          <c:yVal>
            <c:numRef>
              <c:f>'Isotermas VAGEM'!$Z$32:$Z$35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VAGEM'!$AF$32:$AF$35</c:f>
            </c:numRef>
          </c:xVal>
          <c:yVal>
            <c:numRef>
              <c:f>'Isotermas VAGEM'!$AE$32:$AE$35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VAGEM'!$AK$32:$AK$35</c:f>
            </c:numRef>
          </c:xVal>
          <c:yVal>
            <c:numRef>
              <c:f>'Isotermas VAGEM'!$AJ$32:$AJ$35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398750"/>
        <c:axId val="1323351098"/>
      </c:scatterChart>
      <c:valAx>
        <c:axId val="8553987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351098"/>
      </c:valAx>
      <c:valAx>
        <c:axId val="1323351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5398750"/>
      </c:valAx>
    </c:plotArea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Temkin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VAGEM'!$AY$32:$AY$35</c:f>
            </c:numRef>
          </c:xVal>
          <c:yVal>
            <c:numRef>
              <c:f>'Isotermas VAGEM'!$AX$32:$AX$35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VAGEM'!$BD$32:$BD$35</c:f>
            </c:numRef>
          </c:xVal>
          <c:yVal>
            <c:numRef>
              <c:f>'Isotermas VAGEM'!$BC$32:$BC$35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VAGEM'!$BI$32:$BI$35</c:f>
            </c:numRef>
          </c:xVal>
          <c:yVal>
            <c:numRef>
              <c:f>'Isotermas VAGEM'!$BH$32:$BH$35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30646"/>
        <c:axId val="379434503"/>
      </c:scatterChart>
      <c:valAx>
        <c:axId val="980730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9434503"/>
      </c:valAx>
      <c:valAx>
        <c:axId val="379434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0730646"/>
      </c:valAx>
    </c:plotArea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layout>
        <c:manualLayout>
          <c:xMode val="edge"/>
          <c:yMode val="edge"/>
          <c:x val="0.43447769953051646"/>
          <c:y val="0.037056643726839596"/>
        </c:manualLayout>
      </c:layout>
      <c:overlay val="0"/>
    </c:title>
    <c:plotArea>
      <c:layout>
        <c:manualLayout>
          <c:xMode val="edge"/>
          <c:yMode val="edge"/>
          <c:x val="0.1321735262717206"/>
          <c:y val="0.19634727368978297"/>
          <c:w val="0.7912397265223092"/>
          <c:h val="0.5685902218813437"/>
        </c:manualLayout>
      </c:layout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VAGEM'!$B$45:$B$48</c:f>
            </c:numRef>
          </c:xVal>
          <c:yVal>
            <c:numRef>
              <c:f>'Isotermas VAGEM'!$C$45:$C$48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VAGEM'!$G$45:$G$48</c:f>
            </c:numRef>
          </c:xVal>
          <c:yVal>
            <c:numRef>
              <c:f>'Isotermas VAGEM'!$H$45:$H$48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VAGEM'!$L$45:$L$48</c:f>
            </c:numRef>
          </c:xVal>
          <c:yVal>
            <c:numRef>
              <c:f>'Isotermas VAGEM'!$M$45:$M$48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121979"/>
        <c:axId val="1727611131"/>
      </c:scatterChart>
      <c:valAx>
        <c:axId val="8581219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7611131"/>
      </c:valAx>
      <c:valAx>
        <c:axId val="1727611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8121979"/>
      </c:valAx>
    </c:plotArea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VAGEM'!$Z$45:$Z$48</c:f>
            </c:numRef>
          </c:xVal>
          <c:yVal>
            <c:numRef>
              <c:f>'Isotermas VAGEM'!$AA$45:$AA$48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VAGEM'!$AE$45:$AE$48</c:f>
            </c:numRef>
          </c:xVal>
          <c:yVal>
            <c:numRef>
              <c:f>'Isotermas VAGEM'!$AF$45:$AF$48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VAGEM'!$AJ$45:$AJ$48</c:f>
            </c:numRef>
          </c:xVal>
          <c:yVal>
            <c:numRef>
              <c:f>'Isotermas VAGEM'!$AK$45:$AK$48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074720"/>
        <c:axId val="1417510422"/>
      </c:scatterChart>
      <c:valAx>
        <c:axId val="240074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7510422"/>
      </c:valAx>
      <c:valAx>
        <c:axId val="1417510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0074720"/>
      </c:valAx>
    </c:plotArea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DKR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VAGEM'!$AX$45:$AX$48</c:f>
            </c:numRef>
          </c:xVal>
          <c:yVal>
            <c:numRef>
              <c:f>'Isotermas VAGEM'!$AY$45:$AY$48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VAGEM'!$BC$45:$BC$48</c:f>
            </c:numRef>
          </c:xVal>
          <c:yVal>
            <c:numRef>
              <c:f>'Isotermas VAGEM'!$BD$45:$BD$48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VAGEM'!$BH$45:$BH$48</c:f>
            </c:numRef>
          </c:xVal>
          <c:yVal>
            <c:numRef>
              <c:f>'Isotermas VAGEM'!$BI$45:$BI$48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67489"/>
        <c:axId val="736332913"/>
      </c:scatterChart>
      <c:valAx>
        <c:axId val="12540674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ℰ²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6332913"/>
      </c:valAx>
      <c:valAx>
        <c:axId val="736332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067489"/>
      </c:valAx>
    </c:plotArea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layout>
        <c:manualLayout>
          <c:xMode val="edge"/>
          <c:yMode val="edge"/>
          <c:x val="0.43447769953051646"/>
          <c:y val="0.037056643726839596"/>
        </c:manualLayout>
      </c:layout>
      <c:overlay val="0"/>
    </c:title>
    <c:plotArea>
      <c:layout>
        <c:manualLayout>
          <c:xMode val="edge"/>
          <c:yMode val="edge"/>
          <c:x val="0.1321735262717206"/>
          <c:y val="0.19634727368978297"/>
          <c:w val="0.7912397265223092"/>
          <c:h val="0.5685902218813437"/>
        </c:manualLayout>
      </c:layout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VAGEM'!$D$127:$D$130</c:f>
            </c:numRef>
          </c:xVal>
          <c:yVal>
            <c:numRef>
              <c:f>'Isotermas VAGEM'!$E$127:$E$130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VAGEM'!$I$127:$I$130</c:f>
            </c:numRef>
          </c:xVal>
          <c:yVal>
            <c:numRef>
              <c:f>'Isotermas VAGEM'!$J$127:$J$130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VAGEM'!$N$127:$N$130</c:f>
            </c:numRef>
          </c:xVal>
          <c:yVal>
            <c:numRef>
              <c:f>'Isotermas VAGEM'!$O$127:$O$130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0582"/>
        <c:axId val="1570100222"/>
      </c:scatterChart>
      <c:valAx>
        <c:axId val="143350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0100222"/>
      </c:valAx>
      <c:valAx>
        <c:axId val="1570100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350582"/>
      </c:valAx>
    </c:plotArea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VAGEM'!$D$197:$D$200</c:f>
            </c:numRef>
          </c:xVal>
          <c:yVal>
            <c:numRef>
              <c:f>'Isotermas VAGEM'!$E$197:$E$200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VAGEM'!$I$197:$I$200</c:f>
            </c:numRef>
          </c:xVal>
          <c:yVal>
            <c:numRef>
              <c:f>'Isotermas VAGEM'!$J$197:$J$200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VAGEM'!$N$197:$N$200</c:f>
            </c:numRef>
          </c:xVal>
          <c:yVal>
            <c:numRef>
              <c:f>'Isotermas VAGEM'!$O$197:$O$200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819378"/>
        <c:axId val="43088938"/>
      </c:scatterChart>
      <c:valAx>
        <c:axId val="1285819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088938"/>
      </c:valAx>
      <c:valAx>
        <c:axId val="430889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5819378"/>
      </c:valAx>
    </c:plotArea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VAGEM'!$AB$127:$AB$130</c:f>
            </c:numRef>
          </c:xVal>
          <c:yVal>
            <c:numRef>
              <c:f>'Isotermas VAGEM'!$AC$127:$AC$130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VAGEM'!$AG$127:$AG$130</c:f>
            </c:numRef>
          </c:xVal>
          <c:yVal>
            <c:numRef>
              <c:f>'Isotermas VAGEM'!$AH$127:$AH$130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VAGEM'!$AL$127:$AL$130</c:f>
            </c:numRef>
          </c:xVal>
          <c:yVal>
            <c:numRef>
              <c:f>'Isotermas VAGEM'!$AM$127:$AM$130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526613"/>
        <c:axId val="399780921"/>
      </c:scatterChart>
      <c:valAx>
        <c:axId val="12585266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9780921"/>
      </c:valAx>
      <c:valAx>
        <c:axId val="399780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8526613"/>
      </c:valAx>
    </c:plotArea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Harkin-Jura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VAGEM'!$AZ$127:$AZ$130</c:f>
            </c:numRef>
          </c:xVal>
          <c:yVal>
            <c:numRef>
              <c:f>'Isotermas VAGEM'!$BA$127:$BA$130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VAGEM'!$BE$127:$BE$130</c:f>
            </c:numRef>
          </c:xVal>
          <c:yVal>
            <c:numRef>
              <c:f>'Isotermas VAGEM'!$BF$127:$BF$130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VAGEM'!$BJ$127:$BJ$130</c:f>
            </c:numRef>
          </c:xVal>
          <c:yVal>
            <c:numRef>
              <c:f>'Isotermas VAGEM'!$BK$127:$BK$130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438666"/>
        <c:axId val="260822875"/>
      </c:scatterChart>
      <c:valAx>
        <c:axId val="13804386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log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0822875"/>
      </c:valAx>
      <c:valAx>
        <c:axId val="260822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1/Qe²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0438666"/>
      </c:valAx>
    </c:plotArea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VAGEM'!$AB$197:$AB$200</c:f>
            </c:numRef>
          </c:xVal>
          <c:yVal>
            <c:numRef>
              <c:f>'Isotermas VAGEM'!$AC$197:$AC$200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VAGEM'!$AG$197:$AG$200</c:f>
            </c:numRef>
          </c:xVal>
          <c:yVal>
            <c:numRef>
              <c:f>'Isotermas VAGEM'!$AH$197:$AH$200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VAGEM'!$AL$197:$AL$200</c:f>
            </c:numRef>
          </c:xVal>
          <c:yVal>
            <c:numRef>
              <c:f>'Isotermas VAGEM'!$AM$197:$AM$200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13371"/>
        <c:axId val="1974265865"/>
      </c:scatterChart>
      <c:valAx>
        <c:axId val="4870133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4265865"/>
      </c:valAx>
      <c:valAx>
        <c:axId val="1974265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7013371"/>
      </c:valAx>
    </c:plotArea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Halsey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Base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(Base)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VAGEM'!$AZ$197:$AZ$200</c:f>
            </c:numRef>
          </c:xVal>
          <c:yVal>
            <c:numRef>
              <c:f>'Isotermas VAGEM'!$BA$197:$BA$200</c:f>
              <c:numCache/>
            </c:numRef>
          </c:yVal>
        </c:ser>
        <c:ser>
          <c:idx val="1"/>
          <c:order val="1"/>
          <c:tx>
            <c:v>Ácido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(Ácido)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VAGEM'!$BE$197:$BE$200</c:f>
            </c:numRef>
          </c:xVal>
          <c:yVal>
            <c:numRef>
              <c:f>'Isotermas VAGEM'!$BF$197:$BF$200</c:f>
              <c:numCache/>
            </c:numRef>
          </c:yVal>
        </c:ser>
        <c:ser>
          <c:idx val="2"/>
          <c:order val="2"/>
          <c:tx>
            <c:v>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Linear (IN)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'Isotermas VAGEM'!$BJ$197:$BJ$200</c:f>
            </c:numRef>
          </c:xVal>
          <c:yVal>
            <c:numRef>
              <c:f>'Isotermas VAGEM'!$BK$197:$BK$200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82155"/>
        <c:axId val="1366072262"/>
      </c:scatterChart>
      <c:valAx>
        <c:axId val="1231182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6072262"/>
      </c:valAx>
      <c:valAx>
        <c:axId val="1366072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ln 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1182155"/>
      </c:valAx>
    </c:plotArea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VAGEM'!$C$8:$C$11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VAGEM'!$D$8:$D$11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VAGEM'!$E$8:$E$11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VAGEM'!$F$8:$F$11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VAGEM'!$G$8:$G$11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VAGEM'!$H$8:$H$11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VAGEM'!$B$8:$B$11</c:f>
            </c:numRef>
          </c:xVal>
          <c:yVal>
            <c:numRef>
              <c:f>'Ce x Qe VAGEM'!$I$8:$I$11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176879"/>
        <c:axId val="1433045332"/>
      </c:scatterChart>
      <c:valAx>
        <c:axId val="112017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3045332"/>
      </c:valAx>
      <c:valAx>
        <c:axId val="14330453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017687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VAGEM'!$C$23:$C$26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VAGEM'!$D$23:$D$26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VAGEM'!$E$23:$E$26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VAGEM'!$F$23:$F$26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VAGEM'!$G$23:$G$26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VAGEM'!$H$23:$H$26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VAGEM'!$B$23:$B$26</c:f>
            </c:numRef>
          </c:xVal>
          <c:yVal>
            <c:numRef>
              <c:f>'Ce x Qe VAGEM'!$I$23:$I$26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040014"/>
        <c:axId val="1372372713"/>
      </c:scatterChart>
      <c:valAx>
        <c:axId val="1170040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2372713"/>
      </c:valAx>
      <c:valAx>
        <c:axId val="13723727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004001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(15±2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VAGEM'!$C$38:$C$41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VAGEM'!$D$38:$D$41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VAGEM'!$E$38:$E$41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VAGEM'!$F$38:$F$41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VAGEM'!$G$38:$G$41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VAGEM'!$H$38:$H$41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'Ce x Qe VAGEM'!$B$38:$B$41</c:f>
            </c:numRef>
          </c:xVal>
          <c:yVal>
            <c:numRef>
              <c:f>'Ce x Qe VAGEM'!$I$38:$I$41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45460"/>
        <c:axId val="604667291"/>
      </c:scatterChart>
      <c:valAx>
        <c:axId val="51124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4667291"/>
      </c:valAx>
      <c:valAx>
        <c:axId val="6046672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12454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VAGEM'!$C$54:$C$57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VAGEM'!$D$54:$D$57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VAGEM'!$E$54:$E$57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VAGEM'!$F$54:$F$57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VAGEM'!$G$54:$G$57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VAGEM'!$H$54:$H$57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VAGEM'!$B$54:$B$57</c:f>
            </c:numRef>
          </c:xVal>
          <c:yVal>
            <c:numRef>
              <c:f>'Ce x Qe VAGEM'!$I$54:$I$57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392805"/>
        <c:axId val="2104094287"/>
      </c:scatterChart>
      <c:valAx>
        <c:axId val="1004392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4094287"/>
      </c:valAx>
      <c:valAx>
        <c:axId val="2104094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439280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VAGEM'!$C$69:$C$72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VAGEM'!$D$69:$D$72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VAGEM'!$E$69:$E$72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VAGEM'!$F$69:$F$72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VAGEM'!$G$69:$G$72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VAGEM'!$H$69:$H$72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VAGEM'!$B$69:$B$72</c:f>
            </c:numRef>
          </c:xVal>
          <c:yVal>
            <c:numRef>
              <c:f>'Ce x Qe VAGEM'!$I$69:$I$72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502922"/>
        <c:axId val="1442222175"/>
      </c:scatterChart>
      <c:valAx>
        <c:axId val="940502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2222175"/>
      </c:valAx>
      <c:valAx>
        <c:axId val="1442222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050292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(30±3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VAGEM'!$C$84:$C$87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VAGEM'!$D$84:$D$87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VAGEM'!$E$84:$E$87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VAGEM'!$F$84:$F$87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VAGEM'!$G$84:$G$87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VAGEM'!$H$84:$H$87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VAGEM'!$B$84:$B$87</c:f>
            </c:numRef>
          </c:xVal>
          <c:yVal>
            <c:numRef>
              <c:f>'Ce x Qe VAGEM'!$I$84:$I$87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723144"/>
        <c:axId val="2084586644"/>
      </c:scatterChart>
      <c:valAx>
        <c:axId val="95372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4586644"/>
      </c:valAx>
      <c:valAx>
        <c:axId val="2084586644"/>
        <c:scaling>
          <c:orientation val="minMax"/>
          <c:max val="25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372314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Base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VAGEM'!$C$100:$C$103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VAGEM'!$D$100:$D$103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VAGEM'!$E$100:$E$103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VAGEM'!$F$100:$F$103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VAGEM'!$G$100:$G$103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VAGEM'!$H$100:$H$103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VAGEM'!$B$100:$B$103</c:f>
            </c:numRef>
          </c:xVal>
          <c:yVal>
            <c:numRef>
              <c:f>'Ce x Qe VAGEM'!$I$100:$I$103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088179"/>
        <c:axId val="1949665130"/>
      </c:scatterChart>
      <c:valAx>
        <c:axId val="1375088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9665130"/>
      </c:valAx>
      <c:valAx>
        <c:axId val="19496651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508817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Ácido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VAGEM'!$C$115:$C$118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VAGEM'!$D$115:$D$118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VAGEM'!$E$115:$E$118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VAGEM'!$F$115:$F$118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VAGEM'!$G$115:$G$118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VAGEM'!$H$115:$H$118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VAGEM'!$B$115:$B$118</c:f>
            </c:numRef>
          </c:xVal>
          <c:yVal>
            <c:numRef>
              <c:f>'Ce x Qe VAGEM'!$I$115:$I$118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37973"/>
        <c:axId val="555908800"/>
      </c:scatterChart>
      <c:valAx>
        <c:axId val="427837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5908800"/>
      </c:valAx>
      <c:valAx>
        <c:axId val="555908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783797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 Natura (45±3 ℃)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Qe EXP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VAGEM'!$C$130:$C$133</c:f>
              <c:numCache/>
            </c:numRef>
          </c:yVal>
        </c:ser>
        <c:ser>
          <c:idx val="1"/>
          <c:order val="1"/>
          <c:tx>
            <c:v>Langmuir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VAGEM'!$D$130:$D$133</c:f>
              <c:numCache/>
            </c:numRef>
          </c:yVal>
        </c:ser>
        <c:ser>
          <c:idx val="2"/>
          <c:order val="2"/>
          <c:tx>
            <c:v>Freundlich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VAGEM'!$E$130:$E$133</c:f>
              <c:numCache/>
            </c:numRef>
          </c:yVal>
        </c:ser>
        <c:ser>
          <c:idx val="3"/>
          <c:order val="3"/>
          <c:tx>
            <c:v>Temkin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VAGEM'!$F$130:$F$133</c:f>
              <c:numCache/>
            </c:numRef>
          </c:yVal>
        </c:ser>
        <c:ser>
          <c:idx val="4"/>
          <c:order val="4"/>
          <c:tx>
            <c:v>DKR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VAGEM'!$G$130:$G$133</c:f>
              <c:numCache/>
            </c:numRef>
          </c:yVal>
        </c:ser>
        <c:ser>
          <c:idx val="5"/>
          <c:order val="5"/>
          <c:tx>
            <c:v>Harkin-Jura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VAGEM'!$H$130:$H$133</c:f>
              <c:numCache/>
            </c:numRef>
          </c:yVal>
        </c:ser>
        <c:ser>
          <c:idx val="6"/>
          <c:order val="6"/>
          <c:tx>
            <c:v>Halsey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'Ce x Qe VAGEM'!$B$130:$B$133</c:f>
            </c:numRef>
          </c:xVal>
          <c:yVal>
            <c:numRef>
              <c:f>'Ce x Qe VAGEM'!$I$130:$I$133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327488"/>
        <c:axId val="889739965"/>
      </c:scatterChart>
      <c:valAx>
        <c:axId val="210832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9739965"/>
      </c:valAx>
      <c:valAx>
        <c:axId val="8897399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Qe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832748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png"/><Relationship Id="rId22" Type="http://schemas.openxmlformats.org/officeDocument/2006/relationships/image" Target="../media/image6.png"/><Relationship Id="rId21" Type="http://schemas.openxmlformats.org/officeDocument/2006/relationships/image" Target="../media/image2.png"/><Relationship Id="rId24" Type="http://schemas.openxmlformats.org/officeDocument/2006/relationships/image" Target="../media/image5.png"/><Relationship Id="rId23" Type="http://schemas.openxmlformats.org/officeDocument/2006/relationships/image" Target="../media/image3.png"/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25" Type="http://schemas.openxmlformats.org/officeDocument/2006/relationships/image" Target="../media/image4.png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Relationship Id="rId11" Type="http://schemas.openxmlformats.org/officeDocument/2006/relationships/chart" Target="../charts/chart24.xml"/><Relationship Id="rId10" Type="http://schemas.openxmlformats.org/officeDocument/2006/relationships/chart" Target="../charts/chart23.xml"/><Relationship Id="rId13" Type="http://schemas.openxmlformats.org/officeDocument/2006/relationships/chart" Target="../charts/chart26.xml"/><Relationship Id="rId12" Type="http://schemas.openxmlformats.org/officeDocument/2006/relationships/chart" Target="../charts/chart25.xml"/><Relationship Id="rId15" Type="http://schemas.openxmlformats.org/officeDocument/2006/relationships/chart" Target="../charts/chart28.xml"/><Relationship Id="rId14" Type="http://schemas.openxmlformats.org/officeDocument/2006/relationships/chart" Target="../charts/chart27.xml"/><Relationship Id="rId17" Type="http://schemas.openxmlformats.org/officeDocument/2006/relationships/chart" Target="../charts/chart30.xml"/><Relationship Id="rId16" Type="http://schemas.openxmlformats.org/officeDocument/2006/relationships/chart" Target="../charts/chart29.xml"/><Relationship Id="rId19" Type="http://schemas.openxmlformats.org/officeDocument/2006/relationships/chart" Target="../charts/chart32.xml"/><Relationship Id="rId18" Type="http://schemas.openxmlformats.org/officeDocument/2006/relationships/chart" Target="../charts/chart3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Relationship Id="rId3" Type="http://schemas.openxmlformats.org/officeDocument/2006/relationships/chart" Target="../charts/chart5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Relationship Id="rId3" Type="http://schemas.openxmlformats.org/officeDocument/2006/relationships/chart" Target="../charts/chart5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Relationship Id="rId3" Type="http://schemas.openxmlformats.org/officeDocument/2006/relationships/chart" Target="../charts/chart56.xml"/></Relationships>
</file>

<file path=xl/drawings/_rels/drawing1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png"/><Relationship Id="rId22" Type="http://schemas.openxmlformats.org/officeDocument/2006/relationships/image" Target="../media/image6.png"/><Relationship Id="rId21" Type="http://schemas.openxmlformats.org/officeDocument/2006/relationships/image" Target="../media/image2.png"/><Relationship Id="rId24" Type="http://schemas.openxmlformats.org/officeDocument/2006/relationships/image" Target="../media/image5.png"/><Relationship Id="rId23" Type="http://schemas.openxmlformats.org/officeDocument/2006/relationships/image" Target="../media/image3.png"/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25" Type="http://schemas.openxmlformats.org/officeDocument/2006/relationships/image" Target="../media/image4.png"/><Relationship Id="rId5" Type="http://schemas.openxmlformats.org/officeDocument/2006/relationships/chart" Target="../charts/chart61.xml"/><Relationship Id="rId6" Type="http://schemas.openxmlformats.org/officeDocument/2006/relationships/chart" Target="../charts/chart62.xml"/><Relationship Id="rId7" Type="http://schemas.openxmlformats.org/officeDocument/2006/relationships/chart" Target="../charts/chart63.xml"/><Relationship Id="rId8" Type="http://schemas.openxmlformats.org/officeDocument/2006/relationships/chart" Target="../charts/chart64.xml"/><Relationship Id="rId11" Type="http://schemas.openxmlformats.org/officeDocument/2006/relationships/chart" Target="../charts/chart67.xml"/><Relationship Id="rId10" Type="http://schemas.openxmlformats.org/officeDocument/2006/relationships/chart" Target="../charts/chart66.xml"/><Relationship Id="rId13" Type="http://schemas.openxmlformats.org/officeDocument/2006/relationships/chart" Target="../charts/chart69.xml"/><Relationship Id="rId12" Type="http://schemas.openxmlformats.org/officeDocument/2006/relationships/chart" Target="../charts/chart68.xml"/><Relationship Id="rId15" Type="http://schemas.openxmlformats.org/officeDocument/2006/relationships/chart" Target="../charts/chart71.xml"/><Relationship Id="rId14" Type="http://schemas.openxmlformats.org/officeDocument/2006/relationships/chart" Target="../charts/chart70.xml"/><Relationship Id="rId17" Type="http://schemas.openxmlformats.org/officeDocument/2006/relationships/chart" Target="../charts/chart73.xml"/><Relationship Id="rId16" Type="http://schemas.openxmlformats.org/officeDocument/2006/relationships/chart" Target="../charts/chart72.xml"/><Relationship Id="rId19" Type="http://schemas.openxmlformats.org/officeDocument/2006/relationships/chart" Target="../charts/chart75.xml"/><Relationship Id="rId18" Type="http://schemas.openxmlformats.org/officeDocument/2006/relationships/chart" Target="../charts/chart7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Relationship Id="rId3" Type="http://schemas.openxmlformats.org/officeDocument/2006/relationships/chart" Target="../charts/chart78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5" Type="http://schemas.openxmlformats.org/officeDocument/2006/relationships/chart" Target="../charts/chart80.xml"/><Relationship Id="rId6" Type="http://schemas.openxmlformats.org/officeDocument/2006/relationships/chart" Target="../charts/chart81.xml"/><Relationship Id="rId7" Type="http://schemas.openxmlformats.org/officeDocument/2006/relationships/chart" Target="../charts/chart82.xml"/><Relationship Id="rId8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4371975" cy="3000375"/>
    <xdr:graphicFrame>
      <xdr:nvGraphicFramePr>
        <xdr:cNvPr id="118715797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409575</xdr:colOff>
      <xdr:row>2</xdr:row>
      <xdr:rowOff>9525</xdr:rowOff>
    </xdr:from>
    <xdr:ext cx="4200525" cy="2524125"/>
    <xdr:graphicFrame>
      <xdr:nvGraphicFramePr>
        <xdr:cNvPr id="10296355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171450</xdr:colOff>
      <xdr:row>16</xdr:row>
      <xdr:rowOff>133350</xdr:rowOff>
    </xdr:from>
    <xdr:ext cx="4200525" cy="2552700"/>
    <xdr:graphicFrame>
      <xdr:nvGraphicFramePr>
        <xdr:cNvPr id="127894338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180975</xdr:colOff>
      <xdr:row>30</xdr:row>
      <xdr:rowOff>114300</xdr:rowOff>
    </xdr:from>
    <xdr:ext cx="4200525" cy="2552700"/>
    <xdr:graphicFrame>
      <xdr:nvGraphicFramePr>
        <xdr:cNvPr id="59040589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590550</xdr:colOff>
      <xdr:row>4</xdr:row>
      <xdr:rowOff>76200</xdr:rowOff>
    </xdr:from>
    <xdr:ext cx="4343400" cy="3152775"/>
    <xdr:graphicFrame>
      <xdr:nvGraphicFramePr>
        <xdr:cNvPr id="101174750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571500</xdr:colOff>
      <xdr:row>22</xdr:row>
      <xdr:rowOff>85725</xdr:rowOff>
    </xdr:from>
    <xdr:ext cx="4343400" cy="2952750"/>
    <xdr:graphicFrame>
      <xdr:nvGraphicFramePr>
        <xdr:cNvPr id="206068065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39</xdr:row>
      <xdr:rowOff>0</xdr:rowOff>
    </xdr:from>
    <xdr:ext cx="4371975" cy="2933700"/>
    <xdr:graphicFrame>
      <xdr:nvGraphicFramePr>
        <xdr:cNvPr id="143777196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228600</xdr:colOff>
      <xdr:row>5</xdr:row>
      <xdr:rowOff>9525</xdr:rowOff>
    </xdr:from>
    <xdr:ext cx="4371975" cy="3200400"/>
    <xdr:graphicFrame>
      <xdr:nvGraphicFramePr>
        <xdr:cNvPr id="172141489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457200</xdr:colOff>
      <xdr:row>27</xdr:row>
      <xdr:rowOff>38100</xdr:rowOff>
    </xdr:from>
    <xdr:ext cx="4343400" cy="3200400"/>
    <xdr:graphicFrame>
      <xdr:nvGraphicFramePr>
        <xdr:cNvPr id="179863960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257175</xdr:colOff>
      <xdr:row>48</xdr:row>
      <xdr:rowOff>104775</xdr:rowOff>
    </xdr:from>
    <xdr:ext cx="4371975" cy="3200400"/>
    <xdr:graphicFrame>
      <xdr:nvGraphicFramePr>
        <xdr:cNvPr id="186295938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342900</xdr:colOff>
      <xdr:row>8</xdr:row>
      <xdr:rowOff>95250</xdr:rowOff>
    </xdr:from>
    <xdr:ext cx="3429000" cy="2343150"/>
    <xdr:graphicFrame>
      <xdr:nvGraphicFramePr>
        <xdr:cNvPr id="2150504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352425</xdr:colOff>
      <xdr:row>20</xdr:row>
      <xdr:rowOff>57150</xdr:rowOff>
    </xdr:from>
    <xdr:ext cx="3429000" cy="2305050"/>
    <xdr:graphicFrame>
      <xdr:nvGraphicFramePr>
        <xdr:cNvPr id="182746196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390525</xdr:colOff>
      <xdr:row>31</xdr:row>
      <xdr:rowOff>180975</xdr:rowOff>
    </xdr:from>
    <xdr:ext cx="3429000" cy="2247900"/>
    <xdr:graphicFrame>
      <xdr:nvGraphicFramePr>
        <xdr:cNvPr id="783413895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247650</xdr:colOff>
      <xdr:row>147</xdr:row>
      <xdr:rowOff>104775</xdr:rowOff>
    </xdr:from>
    <xdr:ext cx="4114800" cy="2571750"/>
    <xdr:graphicFrame>
      <xdr:nvGraphicFramePr>
        <xdr:cNvPr id="805613977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0</xdr:row>
      <xdr:rowOff>9525</xdr:rowOff>
    </xdr:from>
    <xdr:ext cx="4152900" cy="2514600"/>
    <xdr:graphicFrame>
      <xdr:nvGraphicFramePr>
        <xdr:cNvPr id="946411324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40</xdr:col>
      <xdr:colOff>180975</xdr:colOff>
      <xdr:row>0</xdr:row>
      <xdr:rowOff>0</xdr:rowOff>
    </xdr:from>
    <xdr:ext cx="4343400" cy="2524125"/>
    <xdr:graphicFrame>
      <xdr:nvGraphicFramePr>
        <xdr:cNvPr id="1917172833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65</xdr:col>
      <xdr:colOff>133350</xdr:colOff>
      <xdr:row>0</xdr:row>
      <xdr:rowOff>0</xdr:rowOff>
    </xdr:from>
    <xdr:ext cx="4095750" cy="2524125"/>
    <xdr:graphicFrame>
      <xdr:nvGraphicFramePr>
        <xdr:cNvPr id="824065893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19050</xdr:colOff>
      <xdr:row>12</xdr:row>
      <xdr:rowOff>171450</xdr:rowOff>
    </xdr:from>
    <xdr:ext cx="4124325" cy="2552700"/>
    <xdr:graphicFrame>
      <xdr:nvGraphicFramePr>
        <xdr:cNvPr id="1909043025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40</xdr:col>
      <xdr:colOff>171450</xdr:colOff>
      <xdr:row>12</xdr:row>
      <xdr:rowOff>171450</xdr:rowOff>
    </xdr:from>
    <xdr:ext cx="4124325" cy="2533650"/>
    <xdr:graphicFrame>
      <xdr:nvGraphicFramePr>
        <xdr:cNvPr id="1848333592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65</xdr:col>
      <xdr:colOff>133350</xdr:colOff>
      <xdr:row>13</xdr:row>
      <xdr:rowOff>38100</xdr:rowOff>
    </xdr:from>
    <xdr:ext cx="4133850" cy="2533650"/>
    <xdr:graphicFrame>
      <xdr:nvGraphicFramePr>
        <xdr:cNvPr id="1846310929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190500</xdr:colOff>
      <xdr:row>25</xdr:row>
      <xdr:rowOff>142875</xdr:rowOff>
    </xdr:from>
    <xdr:ext cx="4143375" cy="2505075"/>
    <xdr:graphicFrame>
      <xdr:nvGraphicFramePr>
        <xdr:cNvPr id="23634448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40</xdr:col>
      <xdr:colOff>180975</xdr:colOff>
      <xdr:row>25</xdr:row>
      <xdr:rowOff>152400</xdr:rowOff>
    </xdr:from>
    <xdr:ext cx="4124325" cy="2514600"/>
    <xdr:graphicFrame>
      <xdr:nvGraphicFramePr>
        <xdr:cNvPr id="120415158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65</xdr:col>
      <xdr:colOff>123825</xdr:colOff>
      <xdr:row>26</xdr:row>
      <xdr:rowOff>28575</xdr:rowOff>
    </xdr:from>
    <xdr:ext cx="4124325" cy="2505075"/>
    <xdr:graphicFrame>
      <xdr:nvGraphicFramePr>
        <xdr:cNvPr id="562321539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0</xdr:colOff>
      <xdr:row>38</xdr:row>
      <xdr:rowOff>190500</xdr:rowOff>
    </xdr:from>
    <xdr:ext cx="4171950" cy="2533650"/>
    <xdr:graphicFrame>
      <xdr:nvGraphicFramePr>
        <xdr:cNvPr id="292049180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40</xdr:col>
      <xdr:colOff>190500</xdr:colOff>
      <xdr:row>38</xdr:row>
      <xdr:rowOff>152400</xdr:rowOff>
    </xdr:from>
    <xdr:ext cx="4124325" cy="2505075"/>
    <xdr:graphicFrame>
      <xdr:nvGraphicFramePr>
        <xdr:cNvPr id="1586661492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65</xdr:col>
      <xdr:colOff>114300</xdr:colOff>
      <xdr:row>39</xdr:row>
      <xdr:rowOff>0</xdr:rowOff>
    </xdr:from>
    <xdr:ext cx="4133850" cy="2514600"/>
    <xdr:graphicFrame>
      <xdr:nvGraphicFramePr>
        <xdr:cNvPr id="142002419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16</xdr:col>
      <xdr:colOff>38100</xdr:colOff>
      <xdr:row>118</xdr:row>
      <xdr:rowOff>142875</xdr:rowOff>
    </xdr:from>
    <xdr:ext cx="4171950" cy="2552700"/>
    <xdr:graphicFrame>
      <xdr:nvGraphicFramePr>
        <xdr:cNvPr id="88014093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16</xdr:col>
      <xdr:colOff>123825</xdr:colOff>
      <xdr:row>188</xdr:row>
      <xdr:rowOff>114300</xdr:rowOff>
    </xdr:from>
    <xdr:ext cx="4152900" cy="2581275"/>
    <xdr:graphicFrame>
      <xdr:nvGraphicFramePr>
        <xdr:cNvPr id="966695012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40</xdr:col>
      <xdr:colOff>28575</xdr:colOff>
      <xdr:row>118</xdr:row>
      <xdr:rowOff>104775</xdr:rowOff>
    </xdr:from>
    <xdr:ext cx="4124325" cy="2847975"/>
    <xdr:graphicFrame>
      <xdr:nvGraphicFramePr>
        <xdr:cNvPr id="413168413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65</xdr:col>
      <xdr:colOff>19050</xdr:colOff>
      <xdr:row>118</xdr:row>
      <xdr:rowOff>161925</xdr:rowOff>
    </xdr:from>
    <xdr:ext cx="4124325" cy="2543175"/>
    <xdr:graphicFrame>
      <xdr:nvGraphicFramePr>
        <xdr:cNvPr id="823752253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40</xdr:col>
      <xdr:colOff>57150</xdr:colOff>
      <xdr:row>189</xdr:row>
      <xdr:rowOff>9525</xdr:rowOff>
    </xdr:from>
    <xdr:ext cx="4124325" cy="2828925"/>
    <xdr:graphicFrame>
      <xdr:nvGraphicFramePr>
        <xdr:cNvPr id="125420613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64</xdr:col>
      <xdr:colOff>9525</xdr:colOff>
      <xdr:row>189</xdr:row>
      <xdr:rowOff>47625</xdr:rowOff>
    </xdr:from>
    <xdr:ext cx="4124325" cy="2514600"/>
    <xdr:graphicFrame>
      <xdr:nvGraphicFramePr>
        <xdr:cNvPr id="370734733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3</xdr:col>
      <xdr:colOff>409575</xdr:colOff>
      <xdr:row>147</xdr:row>
      <xdr:rowOff>161925</xdr:rowOff>
    </xdr:from>
    <xdr:ext cx="447675" cy="180975"/>
    <xdr:sp>
      <xdr:nvSpPr>
        <xdr:cNvPr id="46" name="Shape 46"/>
        <xdr:cNvSpPr txBox="1"/>
      </xdr:nvSpPr>
      <xdr:spPr>
        <a:xfrm>
          <a:off x="5122596" y="3693887"/>
          <a:ext cx="446809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552450</xdr:colOff>
      <xdr:row>147</xdr:row>
      <xdr:rowOff>161925</xdr:rowOff>
    </xdr:from>
    <xdr:ext cx="857250" cy="180975"/>
    <xdr:sp>
      <xdr:nvSpPr>
        <xdr:cNvPr id="47" name="Shape 47"/>
        <xdr:cNvSpPr txBox="1"/>
      </xdr:nvSpPr>
      <xdr:spPr>
        <a:xfrm>
          <a:off x="4921704" y="3690584"/>
          <a:ext cx="848592" cy="178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24</xdr:row>
      <xdr:rowOff>28575</xdr:rowOff>
    </xdr:from>
    <xdr:ext cx="552450" cy="257175"/>
    <xdr:sp>
      <xdr:nvSpPr>
        <xdr:cNvPr id="48" name="Shape 48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209550</xdr:colOff>
      <xdr:row>24</xdr:row>
      <xdr:rowOff>95250</xdr:rowOff>
    </xdr:from>
    <xdr:ext cx="400050" cy="180975"/>
    <xdr:sp>
      <xdr:nvSpPr>
        <xdr:cNvPr id="25" name="Shape 25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104775</xdr:colOff>
      <xdr:row>24</xdr:row>
      <xdr:rowOff>0</xdr:rowOff>
    </xdr:from>
    <xdr:ext cx="600075" cy="323850"/>
    <xdr:sp>
      <xdr:nvSpPr>
        <xdr:cNvPr id="49" name="Shape 49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219075</xdr:colOff>
      <xdr:row>24</xdr:row>
      <xdr:rowOff>38100</xdr:rowOff>
    </xdr:from>
    <xdr:ext cx="552450" cy="257175"/>
    <xdr:sp>
      <xdr:nvSpPr>
        <xdr:cNvPr id="50" name="Shape 50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247650</xdr:colOff>
      <xdr:row>24</xdr:row>
      <xdr:rowOff>76200</xdr:rowOff>
    </xdr:from>
    <xdr:ext cx="400050" cy="180975"/>
    <xdr:sp>
      <xdr:nvSpPr>
        <xdr:cNvPr id="51" name="Shape 51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32</xdr:col>
      <xdr:colOff>123825</xdr:colOff>
      <xdr:row>24</xdr:row>
      <xdr:rowOff>19050</xdr:rowOff>
    </xdr:from>
    <xdr:ext cx="600075" cy="323850"/>
    <xdr:sp>
      <xdr:nvSpPr>
        <xdr:cNvPr id="21" name="Shape 21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54</xdr:col>
      <xdr:colOff>228600</xdr:colOff>
      <xdr:row>24</xdr:row>
      <xdr:rowOff>9525</xdr:rowOff>
    </xdr:from>
    <xdr:ext cx="552450" cy="257175"/>
    <xdr:sp>
      <xdr:nvSpPr>
        <xdr:cNvPr id="50" name="Shape 50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55</xdr:col>
      <xdr:colOff>247650</xdr:colOff>
      <xdr:row>24</xdr:row>
      <xdr:rowOff>38100</xdr:rowOff>
    </xdr:from>
    <xdr:ext cx="400050" cy="180975"/>
    <xdr:sp>
      <xdr:nvSpPr>
        <xdr:cNvPr id="52" name="Shape 52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56</xdr:col>
      <xdr:colOff>114300</xdr:colOff>
      <xdr:row>23</xdr:row>
      <xdr:rowOff>171450</xdr:rowOff>
    </xdr:from>
    <xdr:ext cx="600075" cy="323850"/>
    <xdr:sp>
      <xdr:nvSpPr>
        <xdr:cNvPr id="53" name="Shape 53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866775</xdr:colOff>
      <xdr:row>36</xdr:row>
      <xdr:rowOff>28575</xdr:rowOff>
    </xdr:from>
    <xdr:ext cx="1114425" cy="447675"/>
    <xdr:sp>
      <xdr:nvSpPr>
        <xdr:cNvPr id="54" name="Shape 54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66675</xdr:colOff>
      <xdr:row>37</xdr:row>
      <xdr:rowOff>38100</xdr:rowOff>
    </xdr:from>
    <xdr:ext cx="733425" cy="180975"/>
    <xdr:sp>
      <xdr:nvSpPr>
        <xdr:cNvPr id="55" name="Shape 55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228600</xdr:colOff>
      <xdr:row>37</xdr:row>
      <xdr:rowOff>19050</xdr:rowOff>
    </xdr:from>
    <xdr:ext cx="781050" cy="238125"/>
    <xdr:sp>
      <xdr:nvSpPr>
        <xdr:cNvPr id="56" name="Shape 56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32</xdr:col>
      <xdr:colOff>514350</xdr:colOff>
      <xdr:row>36</xdr:row>
      <xdr:rowOff>9525</xdr:rowOff>
    </xdr:from>
    <xdr:ext cx="1114425" cy="447675"/>
    <xdr:sp>
      <xdr:nvSpPr>
        <xdr:cNvPr id="57" name="Shape 57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628650</xdr:colOff>
      <xdr:row>37</xdr:row>
      <xdr:rowOff>19050</xdr:rowOff>
    </xdr:from>
    <xdr:ext cx="733425" cy="180975"/>
    <xdr:sp>
      <xdr:nvSpPr>
        <xdr:cNvPr id="27" name="Shape 27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476250</xdr:colOff>
      <xdr:row>37</xdr:row>
      <xdr:rowOff>0</xdr:rowOff>
    </xdr:from>
    <xdr:ext cx="781050" cy="238125"/>
    <xdr:sp>
      <xdr:nvSpPr>
        <xdr:cNvPr id="58" name="Shape 58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56</xdr:col>
      <xdr:colOff>800100</xdr:colOff>
      <xdr:row>36</xdr:row>
      <xdr:rowOff>28575</xdr:rowOff>
    </xdr:from>
    <xdr:ext cx="1114425" cy="447675"/>
    <xdr:sp>
      <xdr:nvSpPr>
        <xdr:cNvPr id="57" name="Shape 57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56</xdr:col>
      <xdr:colOff>0</xdr:colOff>
      <xdr:row>37</xdr:row>
      <xdr:rowOff>38100</xdr:rowOff>
    </xdr:from>
    <xdr:ext cx="733425" cy="180975"/>
    <xdr:sp>
      <xdr:nvSpPr>
        <xdr:cNvPr id="59" name="Shape 59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54</xdr:col>
      <xdr:colOff>781050</xdr:colOff>
      <xdr:row>37</xdr:row>
      <xdr:rowOff>19050</xdr:rowOff>
    </xdr:from>
    <xdr:ext cx="781050" cy="238125"/>
    <xdr:sp>
      <xdr:nvSpPr>
        <xdr:cNvPr id="60" name="Shape 60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6</xdr:col>
      <xdr:colOff>266700</xdr:colOff>
      <xdr:row>118</xdr:row>
      <xdr:rowOff>104775</xdr:rowOff>
    </xdr:from>
    <xdr:ext cx="723900" cy="371475"/>
    <xdr:sp>
      <xdr:nvSpPr>
        <xdr:cNvPr id="33" name="Shape 33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66675</xdr:colOff>
      <xdr:row>118</xdr:row>
      <xdr:rowOff>95250</xdr:rowOff>
    </xdr:from>
    <xdr:ext cx="666750" cy="371475"/>
    <xdr:sp>
      <xdr:nvSpPr>
        <xdr:cNvPr id="61" name="Shape 61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76200</xdr:colOff>
      <xdr:row>118</xdr:row>
      <xdr:rowOff>152400</xdr:rowOff>
    </xdr:from>
    <xdr:ext cx="857250" cy="190500"/>
    <xdr:sp>
      <xdr:nvSpPr>
        <xdr:cNvPr id="62" name="Shape 62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188</xdr:row>
      <xdr:rowOff>152400</xdr:rowOff>
    </xdr:from>
    <xdr:ext cx="638175" cy="323850"/>
    <xdr:sp>
      <xdr:nvSpPr>
        <xdr:cNvPr id="63" name="Shape 63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66675</xdr:colOff>
      <xdr:row>188</xdr:row>
      <xdr:rowOff>104775</xdr:rowOff>
    </xdr:from>
    <xdr:ext cx="600075" cy="352425"/>
    <xdr:sp>
      <xdr:nvSpPr>
        <xdr:cNvPr id="64" name="Shape 64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189</xdr:row>
      <xdr:rowOff>19050</xdr:rowOff>
    </xdr:from>
    <xdr:ext cx="657225" cy="257175"/>
    <xdr:sp>
      <xdr:nvSpPr>
        <xdr:cNvPr id="65" name="Shape 65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885825</xdr:colOff>
      <xdr:row>117</xdr:row>
      <xdr:rowOff>114300</xdr:rowOff>
    </xdr:from>
    <xdr:ext cx="1257300" cy="381000"/>
    <xdr:sp>
      <xdr:nvSpPr>
        <xdr:cNvPr id="66" name="Shape 66"/>
        <xdr:cNvSpPr txBox="1"/>
      </xdr:nvSpPr>
      <xdr:spPr>
        <a:xfrm>
          <a:off x="4717719" y="3589820"/>
          <a:ext cx="1256562" cy="38036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342900</xdr:colOff>
      <xdr:row>118</xdr:row>
      <xdr:rowOff>0</xdr:rowOff>
    </xdr:from>
    <xdr:ext cx="723900" cy="371475"/>
    <xdr:sp>
      <xdr:nvSpPr>
        <xdr:cNvPr id="67" name="Shape 67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28575</xdr:colOff>
      <xdr:row>117</xdr:row>
      <xdr:rowOff>171450</xdr:rowOff>
    </xdr:from>
    <xdr:ext cx="666750" cy="371475"/>
    <xdr:sp>
      <xdr:nvSpPr>
        <xdr:cNvPr id="68" name="Shape 68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400050</xdr:colOff>
      <xdr:row>118</xdr:row>
      <xdr:rowOff>47625</xdr:rowOff>
    </xdr:from>
    <xdr:ext cx="857250" cy="190500"/>
    <xdr:sp>
      <xdr:nvSpPr>
        <xdr:cNvPr id="69" name="Shape 69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314325</xdr:colOff>
      <xdr:row>117</xdr:row>
      <xdr:rowOff>104775</xdr:rowOff>
    </xdr:from>
    <xdr:ext cx="1390650" cy="295275"/>
    <xdr:sp>
      <xdr:nvSpPr>
        <xdr:cNvPr id="70" name="Shape 70"/>
        <xdr:cNvSpPr txBox="1"/>
      </xdr:nvSpPr>
      <xdr:spPr>
        <a:xfrm>
          <a:off x="4655438" y="3633133"/>
          <a:ext cx="1381125" cy="29373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1/2</a:t>
          </a:r>
          <a:endParaRPr sz="1400"/>
        </a:p>
      </xdr:txBody>
    </xdr:sp>
    <xdr:clientData fLocksWithSheet="0"/>
  </xdr:oneCellAnchor>
  <xdr:oneCellAnchor>
    <xdr:from>
      <xdr:col>50</xdr:col>
      <xdr:colOff>304800</xdr:colOff>
      <xdr:row>117</xdr:row>
      <xdr:rowOff>104775</xdr:rowOff>
    </xdr:from>
    <xdr:ext cx="723900" cy="371475"/>
    <xdr:sp>
      <xdr:nvSpPr>
        <xdr:cNvPr id="71" name="Shape 71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49</xdr:col>
      <xdr:colOff>66675</xdr:colOff>
      <xdr:row>117</xdr:row>
      <xdr:rowOff>95250</xdr:rowOff>
    </xdr:from>
    <xdr:ext cx="666750" cy="371475"/>
    <xdr:sp>
      <xdr:nvSpPr>
        <xdr:cNvPr id="72" name="Shape 72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51</xdr:col>
      <xdr:colOff>342900</xdr:colOff>
      <xdr:row>117</xdr:row>
      <xdr:rowOff>152400</xdr:rowOff>
    </xdr:from>
    <xdr:ext cx="857250" cy="190500"/>
    <xdr:sp>
      <xdr:nvSpPr>
        <xdr:cNvPr id="73" name="Shape 73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55</xdr:col>
      <xdr:colOff>228600</xdr:colOff>
      <xdr:row>117</xdr:row>
      <xdr:rowOff>38100</xdr:rowOff>
    </xdr:from>
    <xdr:ext cx="1390650" cy="295275"/>
    <xdr:sp>
      <xdr:nvSpPr>
        <xdr:cNvPr id="74" name="Shape 74"/>
        <xdr:cNvSpPr txBox="1"/>
      </xdr:nvSpPr>
      <xdr:spPr>
        <a:xfrm>
          <a:off x="4655438" y="3633133"/>
          <a:ext cx="1381125" cy="29373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1/2</a:t>
          </a:r>
          <a:endParaRPr sz="1400"/>
        </a:p>
      </xdr:txBody>
    </xdr:sp>
    <xdr:clientData fLocksWithSheet="0"/>
  </xdr:oneCellAnchor>
  <xdr:oneCellAnchor>
    <xdr:from>
      <xdr:col>26</xdr:col>
      <xdr:colOff>133350</xdr:colOff>
      <xdr:row>188</xdr:row>
      <xdr:rowOff>123825</xdr:rowOff>
    </xdr:from>
    <xdr:ext cx="638175" cy="323850"/>
    <xdr:sp>
      <xdr:nvSpPr>
        <xdr:cNvPr id="75" name="Shape 75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38100</xdr:colOff>
      <xdr:row>188</xdr:row>
      <xdr:rowOff>76200</xdr:rowOff>
    </xdr:from>
    <xdr:ext cx="600075" cy="352425"/>
    <xdr:sp>
      <xdr:nvSpPr>
        <xdr:cNvPr id="64" name="Shape 64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123825</xdr:colOff>
      <xdr:row>189</xdr:row>
      <xdr:rowOff>0</xdr:rowOff>
    </xdr:from>
    <xdr:ext cx="657225" cy="257175"/>
    <xdr:sp>
      <xdr:nvSpPr>
        <xdr:cNvPr id="65" name="Shape 65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50</xdr:col>
      <xdr:colOff>123825</xdr:colOff>
      <xdr:row>188</xdr:row>
      <xdr:rowOff>104775</xdr:rowOff>
    </xdr:from>
    <xdr:ext cx="638175" cy="323850"/>
    <xdr:sp>
      <xdr:nvSpPr>
        <xdr:cNvPr id="75" name="Shape 75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49</xdr:col>
      <xdr:colOff>76200</xdr:colOff>
      <xdr:row>188</xdr:row>
      <xdr:rowOff>76200</xdr:rowOff>
    </xdr:from>
    <xdr:ext cx="600075" cy="352425"/>
    <xdr:sp>
      <xdr:nvSpPr>
        <xdr:cNvPr id="76" name="Shape 76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51</xdr:col>
      <xdr:colOff>142875</xdr:colOff>
      <xdr:row>188</xdr:row>
      <xdr:rowOff>171450</xdr:rowOff>
    </xdr:from>
    <xdr:ext cx="657225" cy="257175"/>
    <xdr:sp>
      <xdr:nvSpPr>
        <xdr:cNvPr id="65" name="Shape 65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333375</xdr:colOff>
      <xdr:row>10</xdr:row>
      <xdr:rowOff>133350</xdr:rowOff>
    </xdr:from>
    <xdr:ext cx="495300" cy="342900"/>
    <xdr:sp>
      <xdr:nvSpPr>
        <xdr:cNvPr id="77" name="Shape 77"/>
        <xdr:cNvSpPr txBox="1"/>
      </xdr:nvSpPr>
      <xdr:spPr>
        <a:xfrm>
          <a:off x="5102160" y="3609584"/>
          <a:ext cx="487680" cy="340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371475</xdr:colOff>
      <xdr:row>10</xdr:row>
      <xdr:rowOff>76200</xdr:rowOff>
    </xdr:from>
    <xdr:ext cx="504825" cy="390525"/>
    <xdr:sp>
      <xdr:nvSpPr>
        <xdr:cNvPr id="78" name="Shape 78"/>
        <xdr:cNvSpPr txBox="1"/>
      </xdr:nvSpPr>
      <xdr:spPr>
        <a:xfrm>
          <a:off x="5094540" y="3585690"/>
          <a:ext cx="502920" cy="3886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76200</xdr:colOff>
      <xdr:row>11</xdr:row>
      <xdr:rowOff>9525</xdr:rowOff>
    </xdr:from>
    <xdr:ext cx="685800" cy="200025"/>
    <xdr:sp>
      <xdr:nvSpPr>
        <xdr:cNvPr id="79" name="Shape 79"/>
        <xdr:cNvSpPr txBox="1"/>
      </xdr:nvSpPr>
      <xdr:spPr>
        <a:xfrm>
          <a:off x="5006910" y="3680940"/>
          <a:ext cx="678180" cy="1981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1209675</xdr:colOff>
      <xdr:row>36</xdr:row>
      <xdr:rowOff>104775</xdr:rowOff>
    </xdr:from>
    <xdr:ext cx="1285875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36</xdr:row>
      <xdr:rowOff>38100</xdr:rowOff>
    </xdr:from>
    <xdr:ext cx="116205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828675</xdr:colOff>
      <xdr:row>36</xdr:row>
      <xdr:rowOff>104775</xdr:rowOff>
    </xdr:from>
    <xdr:ext cx="1295400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828675</xdr:colOff>
      <xdr:row>36</xdr:row>
      <xdr:rowOff>19050</xdr:rowOff>
    </xdr:from>
    <xdr:ext cx="114300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876300</xdr:colOff>
      <xdr:row>36</xdr:row>
      <xdr:rowOff>104775</xdr:rowOff>
    </xdr:from>
    <xdr:ext cx="1295400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228600</xdr:colOff>
      <xdr:row>36</xdr:row>
      <xdr:rowOff>38100</xdr:rowOff>
    </xdr:from>
    <xdr:ext cx="116205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146</xdr:row>
      <xdr:rowOff>9525</xdr:rowOff>
    </xdr:from>
    <xdr:ext cx="1104900" cy="419100"/>
    <xdr:pic>
      <xdr:nvPicPr>
        <xdr:cNvPr id="0" name="image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117</xdr:row>
      <xdr:rowOff>142875</xdr:rowOff>
    </xdr:from>
    <xdr:ext cx="1238250" cy="400050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187</xdr:row>
      <xdr:rowOff>133350</xdr:rowOff>
    </xdr:from>
    <xdr:ext cx="15906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352425</xdr:colOff>
      <xdr:row>117</xdr:row>
      <xdr:rowOff>38100</xdr:rowOff>
    </xdr:from>
    <xdr:ext cx="1238250" cy="400050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285750</xdr:colOff>
      <xdr:row>51</xdr:row>
      <xdr:rowOff>152400</xdr:rowOff>
    </xdr:from>
    <xdr:ext cx="1238250" cy="13401675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514350</xdr:colOff>
      <xdr:row>187</xdr:row>
      <xdr:rowOff>133350</xdr:rowOff>
    </xdr:from>
    <xdr:ext cx="14763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476250</xdr:colOff>
      <xdr:row>187</xdr:row>
      <xdr:rowOff>114300</xdr:rowOff>
    </xdr:from>
    <xdr:ext cx="14763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9</xdr:row>
      <xdr:rowOff>161925</xdr:rowOff>
    </xdr:from>
    <xdr:ext cx="1419225" cy="381000"/>
    <xdr:pic>
      <xdr:nvPicPr>
        <xdr:cNvPr id="0" name="image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0</xdr:rowOff>
    </xdr:from>
    <xdr:ext cx="5238750" cy="2962275"/>
    <xdr:graphicFrame>
      <xdr:nvGraphicFramePr>
        <xdr:cNvPr id="2100671131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76200</xdr:colOff>
      <xdr:row>15</xdr:row>
      <xdr:rowOff>66675</xdr:rowOff>
    </xdr:from>
    <xdr:ext cx="5257800" cy="2686050"/>
    <xdr:graphicFrame>
      <xdr:nvGraphicFramePr>
        <xdr:cNvPr id="339046499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95250</xdr:colOff>
      <xdr:row>30</xdr:row>
      <xdr:rowOff>0</xdr:rowOff>
    </xdr:from>
    <xdr:ext cx="4591050" cy="2676525"/>
    <xdr:graphicFrame>
      <xdr:nvGraphicFramePr>
        <xdr:cNvPr id="105065003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133350</xdr:colOff>
      <xdr:row>46</xdr:row>
      <xdr:rowOff>47625</xdr:rowOff>
    </xdr:from>
    <xdr:ext cx="5238750" cy="2990850"/>
    <xdr:graphicFrame>
      <xdr:nvGraphicFramePr>
        <xdr:cNvPr id="198726535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114300</xdr:colOff>
      <xdr:row>61</xdr:row>
      <xdr:rowOff>9525</xdr:rowOff>
    </xdr:from>
    <xdr:ext cx="5238750" cy="2962275"/>
    <xdr:graphicFrame>
      <xdr:nvGraphicFramePr>
        <xdr:cNvPr id="1874579019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114300</xdr:colOff>
      <xdr:row>76</xdr:row>
      <xdr:rowOff>9525</xdr:rowOff>
    </xdr:from>
    <xdr:ext cx="5238750" cy="2962275"/>
    <xdr:graphicFrame>
      <xdr:nvGraphicFramePr>
        <xdr:cNvPr id="1372748650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142875</xdr:colOff>
      <xdr:row>92</xdr:row>
      <xdr:rowOff>47625</xdr:rowOff>
    </xdr:from>
    <xdr:ext cx="5238750" cy="2990850"/>
    <xdr:graphicFrame>
      <xdr:nvGraphicFramePr>
        <xdr:cNvPr id="136923933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152400</xdr:colOff>
      <xdr:row>107</xdr:row>
      <xdr:rowOff>57150</xdr:rowOff>
    </xdr:from>
    <xdr:ext cx="5238750" cy="2990850"/>
    <xdr:graphicFrame>
      <xdr:nvGraphicFramePr>
        <xdr:cNvPr id="433673217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152400</xdr:colOff>
      <xdr:row>122</xdr:row>
      <xdr:rowOff>171450</xdr:rowOff>
    </xdr:from>
    <xdr:ext cx="5238750" cy="2981325"/>
    <xdr:graphicFrame>
      <xdr:nvGraphicFramePr>
        <xdr:cNvPr id="1305664759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104775</xdr:colOff>
      <xdr:row>4</xdr:row>
      <xdr:rowOff>0</xdr:rowOff>
    </xdr:from>
    <xdr:ext cx="1914525" cy="561975"/>
    <xdr:sp>
      <xdr:nvSpPr>
        <xdr:cNvPr id="3" name="Shape 3"/>
        <xdr:cNvSpPr txBox="1"/>
      </xdr:nvSpPr>
      <xdr:spPr>
        <a:xfrm>
          <a:off x="4389267" y="3502717"/>
          <a:ext cx="1913467" cy="554566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+ </a:t>
          </a:r>
          <a:endParaRPr sz="14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18</xdr:col>
      <xdr:colOff>38100</xdr:colOff>
      <xdr:row>0</xdr:row>
      <xdr:rowOff>19050</xdr:rowOff>
    </xdr:from>
    <xdr:ext cx="1752600" cy="323850"/>
    <xdr:sp>
      <xdr:nvSpPr>
        <xdr:cNvPr id="4" name="Shape 4"/>
        <xdr:cNvSpPr txBox="1"/>
      </xdr:nvSpPr>
      <xdr:spPr>
        <a:xfrm>
          <a:off x="4473934" y="3619134"/>
          <a:ext cx="1744133" cy="32173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390525</xdr:colOff>
      <xdr:row>6</xdr:row>
      <xdr:rowOff>114300</xdr:rowOff>
    </xdr:from>
    <xdr:ext cx="981075" cy="381000"/>
    <xdr:sp>
      <xdr:nvSpPr>
        <xdr:cNvPr id="5" name="Shape 5"/>
        <xdr:cNvSpPr txBox="1"/>
      </xdr:nvSpPr>
      <xdr:spPr>
        <a:xfrm>
          <a:off x="4859167" y="3593733"/>
          <a:ext cx="973667" cy="372534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 </a:t>
          </a:r>
          <a:endParaRPr sz="1200">
            <a:latin typeface="Cambria Math"/>
            <a:ea typeface="Cambria Math"/>
            <a:cs typeface="Cambria Math"/>
            <a:sym typeface="Cambria Math"/>
          </a:endParaRPr>
        </a:p>
      </xdr:txBody>
    </xdr:sp>
    <xdr:clientData fLocksWithSheet="0"/>
  </xdr:oneCellAnchor>
  <xdr:oneCellAnchor>
    <xdr:from>
      <xdr:col>19</xdr:col>
      <xdr:colOff>400050</xdr:colOff>
      <xdr:row>2</xdr:row>
      <xdr:rowOff>66675</xdr:rowOff>
    </xdr:from>
    <xdr:ext cx="695325" cy="381000"/>
    <xdr:sp>
      <xdr:nvSpPr>
        <xdr:cNvPr id="6" name="Shape 6"/>
        <xdr:cNvSpPr txBox="1"/>
      </xdr:nvSpPr>
      <xdr:spPr>
        <a:xfrm>
          <a:off x="4999206" y="3590942"/>
          <a:ext cx="693588" cy="37811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21</xdr:col>
      <xdr:colOff>333375</xdr:colOff>
      <xdr:row>2</xdr:row>
      <xdr:rowOff>66675</xdr:rowOff>
    </xdr:from>
    <xdr:ext cx="695325" cy="352425"/>
    <xdr:sp>
      <xdr:nvSpPr>
        <xdr:cNvPr id="7" name="Shape 7"/>
        <xdr:cNvSpPr txBox="1"/>
      </xdr:nvSpPr>
      <xdr:spPr>
        <a:xfrm>
          <a:off x="4999206" y="3606555"/>
          <a:ext cx="693588" cy="34689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361950</xdr:colOff>
      <xdr:row>4</xdr:row>
      <xdr:rowOff>66675</xdr:rowOff>
    </xdr:from>
    <xdr:ext cx="952500" cy="381000"/>
    <xdr:sp>
      <xdr:nvSpPr>
        <xdr:cNvPr id="8" name="Shape 8"/>
        <xdr:cNvSpPr txBox="1"/>
      </xdr:nvSpPr>
      <xdr:spPr>
        <a:xfrm>
          <a:off x="4872217" y="3590942"/>
          <a:ext cx="947567" cy="37811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21</xdr:col>
      <xdr:colOff>495300</xdr:colOff>
      <xdr:row>4</xdr:row>
      <xdr:rowOff>66675</xdr:rowOff>
    </xdr:from>
    <xdr:ext cx="952500" cy="381000"/>
    <xdr:sp>
      <xdr:nvSpPr>
        <xdr:cNvPr id="9" name="Shape 9"/>
        <xdr:cNvSpPr txBox="1"/>
      </xdr:nvSpPr>
      <xdr:spPr>
        <a:xfrm>
          <a:off x="4872217" y="3590942"/>
          <a:ext cx="947567" cy="37811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16</xdr:col>
      <xdr:colOff>142875</xdr:colOff>
      <xdr:row>11</xdr:row>
      <xdr:rowOff>66675</xdr:rowOff>
    </xdr:from>
    <xdr:ext cx="1962150" cy="409575"/>
    <xdr:sp>
      <xdr:nvSpPr>
        <xdr:cNvPr id="10" name="Shape 10"/>
        <xdr:cNvSpPr txBox="1"/>
      </xdr:nvSpPr>
      <xdr:spPr>
        <a:xfrm>
          <a:off x="4365445" y="3577032"/>
          <a:ext cx="1961111" cy="40593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581025</xdr:colOff>
      <xdr:row>12</xdr:row>
      <xdr:rowOff>95250</xdr:rowOff>
    </xdr:from>
    <xdr:ext cx="457200" cy="352425"/>
    <xdr:sp>
      <xdr:nvSpPr>
        <xdr:cNvPr id="11" name="Shape 11"/>
        <xdr:cNvSpPr txBox="1"/>
      </xdr:nvSpPr>
      <xdr:spPr>
        <a:xfrm>
          <a:off x="5119784" y="3607164"/>
          <a:ext cx="452432" cy="345672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581025</xdr:colOff>
      <xdr:row>11</xdr:row>
      <xdr:rowOff>85725</xdr:rowOff>
    </xdr:from>
    <xdr:ext cx="57150" cy="838200"/>
    <xdr:sp>
      <xdr:nvSpPr>
        <xdr:cNvPr id="12" name="Shape 12"/>
        <xdr:cNvSpPr/>
      </xdr:nvSpPr>
      <xdr:spPr>
        <a:xfrm>
          <a:off x="5322188" y="3365663"/>
          <a:ext cx="47625" cy="828675"/>
        </a:xfrm>
        <a:prstGeom prst="lef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238125</xdr:colOff>
      <xdr:row>13</xdr:row>
      <xdr:rowOff>114300</xdr:rowOff>
    </xdr:from>
    <xdr:ext cx="495300" cy="342900"/>
    <xdr:sp>
      <xdr:nvSpPr>
        <xdr:cNvPr id="13" name="Shape 13"/>
        <xdr:cNvSpPr txBox="1"/>
      </xdr:nvSpPr>
      <xdr:spPr>
        <a:xfrm>
          <a:off x="5102160" y="3609584"/>
          <a:ext cx="487680" cy="340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238125</xdr:colOff>
      <xdr:row>11</xdr:row>
      <xdr:rowOff>57150</xdr:rowOff>
    </xdr:from>
    <xdr:ext cx="504825" cy="390525"/>
    <xdr:sp>
      <xdr:nvSpPr>
        <xdr:cNvPr id="14" name="Shape 14"/>
        <xdr:cNvSpPr txBox="1"/>
      </xdr:nvSpPr>
      <xdr:spPr>
        <a:xfrm>
          <a:off x="5094540" y="3585690"/>
          <a:ext cx="502920" cy="3886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581025</xdr:colOff>
      <xdr:row>9</xdr:row>
      <xdr:rowOff>161925</xdr:rowOff>
    </xdr:from>
    <xdr:ext cx="666750" cy="180975"/>
    <xdr:sp>
      <xdr:nvSpPr>
        <xdr:cNvPr id="15" name="Shape 15"/>
        <xdr:cNvSpPr txBox="1"/>
      </xdr:nvSpPr>
      <xdr:spPr>
        <a:xfrm>
          <a:off x="5014916" y="3693887"/>
          <a:ext cx="662169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95250</xdr:colOff>
      <xdr:row>10</xdr:row>
      <xdr:rowOff>28575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180975</xdr:colOff>
      <xdr:row>5</xdr:row>
      <xdr:rowOff>57150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19050</xdr:colOff>
      <xdr:row>3</xdr:row>
      <xdr:rowOff>38100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371475</xdr:colOff>
      <xdr:row>9</xdr:row>
      <xdr:rowOff>161925</xdr:rowOff>
    </xdr:from>
    <xdr:ext cx="685800" cy="200025"/>
    <xdr:sp>
      <xdr:nvSpPr>
        <xdr:cNvPr id="18" name="Shape 18"/>
        <xdr:cNvSpPr txBox="1"/>
      </xdr:nvSpPr>
      <xdr:spPr>
        <a:xfrm>
          <a:off x="5006910" y="3680940"/>
          <a:ext cx="678180" cy="1981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161925</xdr:colOff>
      <xdr:row>18</xdr:row>
      <xdr:rowOff>57150</xdr:rowOff>
    </xdr:from>
    <xdr:ext cx="1676400" cy="390525"/>
    <xdr:sp>
      <xdr:nvSpPr>
        <xdr:cNvPr id="19" name="Shape 19"/>
        <xdr:cNvSpPr txBox="1"/>
      </xdr:nvSpPr>
      <xdr:spPr>
        <a:xfrm>
          <a:off x="4512086" y="3592032"/>
          <a:ext cx="1667828" cy="37593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333375</xdr:colOff>
      <xdr:row>20</xdr:row>
      <xdr:rowOff>104775</xdr:rowOff>
    </xdr:from>
    <xdr:ext cx="533400" cy="352425"/>
    <xdr:sp>
      <xdr:nvSpPr>
        <xdr:cNvPr id="20" name="Shape 20"/>
        <xdr:cNvSpPr txBox="1"/>
      </xdr:nvSpPr>
      <xdr:spPr>
        <a:xfrm>
          <a:off x="5080415" y="3607709"/>
          <a:ext cx="531171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381000</xdr:colOff>
      <xdr:row>21</xdr:row>
      <xdr:rowOff>66675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20</xdr:row>
      <xdr:rowOff>104775</xdr:rowOff>
    </xdr:from>
    <xdr:ext cx="600075" cy="323850"/>
    <xdr:sp>
      <xdr:nvSpPr>
        <xdr:cNvPr id="21" name="Shape 21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314325</xdr:colOff>
      <xdr:row>16</xdr:row>
      <xdr:rowOff>47625</xdr:rowOff>
    </xdr:from>
    <xdr:ext cx="885825" cy="352425"/>
    <xdr:sp>
      <xdr:nvSpPr>
        <xdr:cNvPr id="22" name="Shape 22"/>
        <xdr:cNvSpPr txBox="1"/>
      </xdr:nvSpPr>
      <xdr:spPr>
        <a:xfrm>
          <a:off x="4904950" y="3607709"/>
          <a:ext cx="882100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38100</xdr:colOff>
      <xdr:row>17</xdr:row>
      <xdr:rowOff>0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323850</xdr:colOff>
      <xdr:row>16</xdr:row>
      <xdr:rowOff>66675</xdr:rowOff>
    </xdr:from>
    <xdr:ext cx="552450" cy="257175"/>
    <xdr:sp>
      <xdr:nvSpPr>
        <xdr:cNvPr id="23" name="Shape 23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333375</xdr:colOff>
      <xdr:row>18</xdr:row>
      <xdr:rowOff>66675</xdr:rowOff>
    </xdr:from>
    <xdr:ext cx="552450" cy="352425"/>
    <xdr:sp>
      <xdr:nvSpPr>
        <xdr:cNvPr id="24" name="Shape 24"/>
        <xdr:cNvSpPr txBox="1"/>
      </xdr:nvSpPr>
      <xdr:spPr>
        <a:xfrm>
          <a:off x="5073265" y="3607709"/>
          <a:ext cx="545470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400050</xdr:colOff>
      <xdr:row>19</xdr:row>
      <xdr:rowOff>38100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18</xdr:row>
      <xdr:rowOff>142875</xdr:rowOff>
    </xdr:from>
    <xdr:ext cx="400050" cy="180975"/>
    <xdr:sp>
      <xdr:nvSpPr>
        <xdr:cNvPr id="25" name="Shape 25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523875</xdr:colOff>
      <xdr:row>26</xdr:row>
      <xdr:rowOff>161925</xdr:rowOff>
    </xdr:from>
    <xdr:ext cx="1114425" cy="447675"/>
    <xdr:sp>
      <xdr:nvSpPr>
        <xdr:cNvPr id="26" name="Shape 26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514350</xdr:colOff>
      <xdr:row>23</xdr:row>
      <xdr:rowOff>114300</xdr:rowOff>
    </xdr:from>
    <xdr:ext cx="733425" cy="180975"/>
    <xdr:sp>
      <xdr:nvSpPr>
        <xdr:cNvPr id="27" name="Shape 27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85725</xdr:colOff>
      <xdr:row>25</xdr:row>
      <xdr:rowOff>161925</xdr:rowOff>
    </xdr:from>
    <xdr:ext cx="2057400" cy="228600"/>
    <xdr:sp>
      <xdr:nvSpPr>
        <xdr:cNvPr id="28" name="Shape 28"/>
        <xdr:cNvSpPr txBox="1"/>
      </xdr:nvSpPr>
      <xdr:spPr>
        <a:xfrm>
          <a:off x="4319033" y="3668463"/>
          <a:ext cx="2053935" cy="223074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514350</xdr:colOff>
      <xdr:row>25</xdr:row>
      <xdr:rowOff>28575</xdr:rowOff>
    </xdr:from>
    <xdr:ext cx="752475" cy="180975"/>
    <xdr:sp>
      <xdr:nvSpPr>
        <xdr:cNvPr id="29" name="Shape 29"/>
        <xdr:cNvSpPr txBox="1"/>
      </xdr:nvSpPr>
      <xdr:spPr>
        <a:xfrm>
          <a:off x="4970609" y="3693887"/>
          <a:ext cx="750783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114300</xdr:colOff>
      <xdr:row>25</xdr:row>
      <xdr:rowOff>85725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400050</xdr:colOff>
      <xdr:row>25</xdr:row>
      <xdr:rowOff>0</xdr:rowOff>
    </xdr:from>
    <xdr:ext cx="781050" cy="238125"/>
    <xdr:sp>
      <xdr:nvSpPr>
        <xdr:cNvPr id="30" name="Shape 30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16</xdr:col>
      <xdr:colOff>238125</xdr:colOff>
      <xdr:row>32</xdr:row>
      <xdr:rowOff>47625</xdr:rowOff>
    </xdr:from>
    <xdr:ext cx="1495425" cy="400050"/>
    <xdr:sp>
      <xdr:nvSpPr>
        <xdr:cNvPr id="31" name="Shape 31"/>
        <xdr:cNvSpPr txBox="1"/>
      </xdr:nvSpPr>
      <xdr:spPr>
        <a:xfrm>
          <a:off x="4599642" y="3580330"/>
          <a:ext cx="1492716" cy="39934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266700</xdr:colOff>
      <xdr:row>30</xdr:row>
      <xdr:rowOff>76200</xdr:rowOff>
    </xdr:from>
    <xdr:ext cx="657225" cy="371475"/>
    <xdr:sp>
      <xdr:nvSpPr>
        <xdr:cNvPr id="32" name="Shape 32"/>
        <xdr:cNvSpPr txBox="1"/>
      </xdr:nvSpPr>
      <xdr:spPr>
        <a:xfrm>
          <a:off x="5020462" y="3597995"/>
          <a:ext cx="651076" cy="36401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428625</xdr:colOff>
      <xdr:row>31</xdr:row>
      <xdr:rowOff>28575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95250</xdr:colOff>
      <xdr:row>30</xdr:row>
      <xdr:rowOff>66675</xdr:rowOff>
    </xdr:from>
    <xdr:ext cx="723900" cy="371475"/>
    <xdr:sp>
      <xdr:nvSpPr>
        <xdr:cNvPr id="33" name="Shape 33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314325</xdr:colOff>
      <xdr:row>32</xdr:row>
      <xdr:rowOff>85725</xdr:rowOff>
    </xdr:from>
    <xdr:ext cx="666750" cy="371475"/>
    <xdr:sp>
      <xdr:nvSpPr>
        <xdr:cNvPr id="34" name="Shape 34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342900</xdr:colOff>
      <xdr:row>34</xdr:row>
      <xdr:rowOff>133350</xdr:rowOff>
    </xdr:from>
    <xdr:ext cx="523875" cy="371475"/>
    <xdr:sp>
      <xdr:nvSpPr>
        <xdr:cNvPr id="35" name="Shape 35"/>
        <xdr:cNvSpPr txBox="1"/>
      </xdr:nvSpPr>
      <xdr:spPr>
        <a:xfrm>
          <a:off x="5086410" y="3597001"/>
          <a:ext cx="519180" cy="365998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381000</xdr:colOff>
      <xdr:row>35</xdr:row>
      <xdr:rowOff>95250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35</xdr:row>
      <xdr:rowOff>0</xdr:rowOff>
    </xdr:from>
    <xdr:ext cx="857250" cy="190500"/>
    <xdr:sp>
      <xdr:nvSpPr>
        <xdr:cNvPr id="36" name="Shape 36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114300</xdr:colOff>
      <xdr:row>39</xdr:row>
      <xdr:rowOff>19050</xdr:rowOff>
    </xdr:from>
    <xdr:ext cx="2228850" cy="457200"/>
    <xdr:sp>
      <xdr:nvSpPr>
        <xdr:cNvPr id="37" name="Shape 37"/>
        <xdr:cNvSpPr txBox="1"/>
      </xdr:nvSpPr>
      <xdr:spPr>
        <a:xfrm>
          <a:off x="4235905" y="3554864"/>
          <a:ext cx="2220191" cy="450273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57150</xdr:colOff>
      <xdr:row>38</xdr:row>
      <xdr:rowOff>76200</xdr:rowOff>
    </xdr:from>
    <xdr:ext cx="609600" cy="352425"/>
    <xdr:sp>
      <xdr:nvSpPr>
        <xdr:cNvPr id="38" name="Shape 38"/>
        <xdr:cNvSpPr txBox="1"/>
      </xdr:nvSpPr>
      <xdr:spPr>
        <a:xfrm>
          <a:off x="5041974" y="3607164"/>
          <a:ext cx="608052" cy="34567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21</xdr:col>
      <xdr:colOff>152400</xdr:colOff>
      <xdr:row>38</xdr:row>
      <xdr:rowOff>133350</xdr:rowOff>
    </xdr:from>
    <xdr:ext cx="161925" cy="114300"/>
    <xdr:sp>
      <xdr:nvSpPr>
        <xdr:cNvPr id="39" name="Shape 39"/>
        <xdr:cNvSpPr/>
      </xdr:nvSpPr>
      <xdr:spPr>
        <a:xfrm rot="-1183437">
          <a:off x="5279325" y="3751425"/>
          <a:ext cx="133350" cy="5715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457200</xdr:colOff>
      <xdr:row>38</xdr:row>
      <xdr:rowOff>0</xdr:rowOff>
    </xdr:from>
    <xdr:ext cx="638175" cy="323850"/>
    <xdr:sp>
      <xdr:nvSpPr>
        <xdr:cNvPr id="40" name="Shape 40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161925</xdr:colOff>
      <xdr:row>39</xdr:row>
      <xdr:rowOff>142875</xdr:rowOff>
    </xdr:from>
    <xdr:ext cx="161925" cy="123825"/>
    <xdr:sp>
      <xdr:nvSpPr>
        <xdr:cNvPr id="41" name="Shape 41"/>
        <xdr:cNvSpPr/>
      </xdr:nvSpPr>
      <xdr:spPr>
        <a:xfrm rot="1216398">
          <a:off x="5279325" y="3746663"/>
          <a:ext cx="133350" cy="6667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457200</xdr:colOff>
      <xdr:row>39</xdr:row>
      <xdr:rowOff>95250</xdr:rowOff>
    </xdr:from>
    <xdr:ext cx="600075" cy="352425"/>
    <xdr:sp>
      <xdr:nvSpPr>
        <xdr:cNvPr id="42" name="Shape 42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133350</xdr:colOff>
      <xdr:row>41</xdr:row>
      <xdr:rowOff>152400</xdr:rowOff>
    </xdr:from>
    <xdr:ext cx="657225" cy="257175"/>
    <xdr:sp>
      <xdr:nvSpPr>
        <xdr:cNvPr id="43" name="Shape 43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428625</xdr:colOff>
      <xdr:row>42</xdr:row>
      <xdr:rowOff>95250</xdr:rowOff>
    </xdr:from>
    <xdr:ext cx="152400" cy="57150"/>
    <xdr:sp>
      <xdr:nvSpPr>
        <xdr:cNvPr id="44" name="Shape 44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66675</xdr:colOff>
      <xdr:row>42</xdr:row>
      <xdr:rowOff>19050</xdr:rowOff>
    </xdr:from>
    <xdr:ext cx="857250" cy="180975"/>
    <xdr:sp>
      <xdr:nvSpPr>
        <xdr:cNvPr id="45" name="Shape 45"/>
        <xdr:cNvSpPr txBox="1"/>
      </xdr:nvSpPr>
      <xdr:spPr>
        <a:xfrm>
          <a:off x="4921782" y="3693887"/>
          <a:ext cx="848437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6</xdr:row>
      <xdr:rowOff>0</xdr:rowOff>
    </xdr:from>
    <xdr:ext cx="3467100" cy="2019300"/>
    <xdr:graphicFrame>
      <xdr:nvGraphicFramePr>
        <xdr:cNvPr id="1622335274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0</xdr:colOff>
      <xdr:row>18</xdr:row>
      <xdr:rowOff>0</xdr:rowOff>
    </xdr:from>
    <xdr:ext cx="3467100" cy="2019300"/>
    <xdr:graphicFrame>
      <xdr:nvGraphicFramePr>
        <xdr:cNvPr id="500734622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31</xdr:row>
      <xdr:rowOff>0</xdr:rowOff>
    </xdr:from>
    <xdr:ext cx="3467100" cy="2019300"/>
    <xdr:graphicFrame>
      <xdr:nvGraphicFramePr>
        <xdr:cNvPr id="1583363889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95250</xdr:colOff>
      <xdr:row>5</xdr:row>
      <xdr:rowOff>123825</xdr:rowOff>
    </xdr:from>
    <xdr:ext cx="3771900" cy="2219325"/>
    <xdr:graphicFrame>
      <xdr:nvGraphicFramePr>
        <xdr:cNvPr id="144044489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133350</xdr:colOff>
      <xdr:row>19</xdr:row>
      <xdr:rowOff>0</xdr:rowOff>
    </xdr:from>
    <xdr:ext cx="3724275" cy="2105025"/>
    <xdr:graphicFrame>
      <xdr:nvGraphicFramePr>
        <xdr:cNvPr id="90956771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114300</xdr:colOff>
      <xdr:row>31</xdr:row>
      <xdr:rowOff>66675</xdr:rowOff>
    </xdr:from>
    <xdr:ext cx="3752850" cy="2095500"/>
    <xdr:graphicFrame>
      <xdr:nvGraphicFramePr>
        <xdr:cNvPr id="738362043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504825</xdr:colOff>
      <xdr:row>7</xdr:row>
      <xdr:rowOff>152400</xdr:rowOff>
    </xdr:from>
    <xdr:ext cx="4410075" cy="3200400"/>
    <xdr:graphicFrame>
      <xdr:nvGraphicFramePr>
        <xdr:cNvPr id="839009427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523875</xdr:colOff>
      <xdr:row>28</xdr:row>
      <xdr:rowOff>257175</xdr:rowOff>
    </xdr:from>
    <xdr:ext cx="4410075" cy="3114675"/>
    <xdr:graphicFrame>
      <xdr:nvGraphicFramePr>
        <xdr:cNvPr id="1168039230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514350</xdr:colOff>
      <xdr:row>50</xdr:row>
      <xdr:rowOff>247650</xdr:rowOff>
    </xdr:from>
    <xdr:ext cx="4410075" cy="3314700"/>
    <xdr:graphicFrame>
      <xdr:nvGraphicFramePr>
        <xdr:cNvPr id="847187864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9</xdr:row>
      <xdr:rowOff>0</xdr:rowOff>
    </xdr:from>
    <xdr:ext cx="4419600" cy="3371850"/>
    <xdr:graphicFrame>
      <xdr:nvGraphicFramePr>
        <xdr:cNvPr id="212204586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600075</xdr:colOff>
      <xdr:row>30</xdr:row>
      <xdr:rowOff>0</xdr:rowOff>
    </xdr:from>
    <xdr:ext cx="4400550" cy="3400425"/>
    <xdr:graphicFrame>
      <xdr:nvGraphicFramePr>
        <xdr:cNvPr id="1367334164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0</xdr:colOff>
      <xdr:row>53</xdr:row>
      <xdr:rowOff>0</xdr:rowOff>
    </xdr:from>
    <xdr:ext cx="4419600" cy="3371850"/>
    <xdr:graphicFrame>
      <xdr:nvGraphicFramePr>
        <xdr:cNvPr id="46018391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6400800" cy="3800475"/>
    <xdr:graphicFrame>
      <xdr:nvGraphicFramePr>
        <xdr:cNvPr id="10332597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4371975" cy="3000375"/>
    <xdr:graphicFrame>
      <xdr:nvGraphicFramePr>
        <xdr:cNvPr id="384071892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46</xdr:row>
      <xdr:rowOff>0</xdr:rowOff>
    </xdr:from>
    <xdr:ext cx="4371975" cy="2962275"/>
    <xdr:graphicFrame>
      <xdr:nvGraphicFramePr>
        <xdr:cNvPr id="1078279111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57150</xdr:colOff>
      <xdr:row>147</xdr:row>
      <xdr:rowOff>57150</xdr:rowOff>
    </xdr:from>
    <xdr:ext cx="4114800" cy="2571750"/>
    <xdr:graphicFrame>
      <xdr:nvGraphicFramePr>
        <xdr:cNvPr id="1016324503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0</xdr:row>
      <xdr:rowOff>9525</xdr:rowOff>
    </xdr:from>
    <xdr:ext cx="4152900" cy="2514600"/>
    <xdr:graphicFrame>
      <xdr:nvGraphicFramePr>
        <xdr:cNvPr id="52401281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40</xdr:col>
      <xdr:colOff>180975</xdr:colOff>
      <xdr:row>0</xdr:row>
      <xdr:rowOff>0</xdr:rowOff>
    </xdr:from>
    <xdr:ext cx="4343400" cy="2524125"/>
    <xdr:graphicFrame>
      <xdr:nvGraphicFramePr>
        <xdr:cNvPr id="1110878853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65</xdr:col>
      <xdr:colOff>133350</xdr:colOff>
      <xdr:row>0</xdr:row>
      <xdr:rowOff>0</xdr:rowOff>
    </xdr:from>
    <xdr:ext cx="4095750" cy="2524125"/>
    <xdr:graphicFrame>
      <xdr:nvGraphicFramePr>
        <xdr:cNvPr id="992217367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19050</xdr:colOff>
      <xdr:row>12</xdr:row>
      <xdr:rowOff>133350</xdr:rowOff>
    </xdr:from>
    <xdr:ext cx="4124325" cy="2552700"/>
    <xdr:graphicFrame>
      <xdr:nvGraphicFramePr>
        <xdr:cNvPr id="1634163048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40</xdr:col>
      <xdr:colOff>171450</xdr:colOff>
      <xdr:row>12</xdr:row>
      <xdr:rowOff>171450</xdr:rowOff>
    </xdr:from>
    <xdr:ext cx="4124325" cy="2533650"/>
    <xdr:graphicFrame>
      <xdr:nvGraphicFramePr>
        <xdr:cNvPr id="505506273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65</xdr:col>
      <xdr:colOff>133350</xdr:colOff>
      <xdr:row>13</xdr:row>
      <xdr:rowOff>38100</xdr:rowOff>
    </xdr:from>
    <xdr:ext cx="4133850" cy="2533650"/>
    <xdr:graphicFrame>
      <xdr:nvGraphicFramePr>
        <xdr:cNvPr id="1246904738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809625</xdr:colOff>
      <xdr:row>25</xdr:row>
      <xdr:rowOff>142875</xdr:rowOff>
    </xdr:from>
    <xdr:ext cx="4114800" cy="2505075"/>
    <xdr:graphicFrame>
      <xdr:nvGraphicFramePr>
        <xdr:cNvPr id="60705461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40</xdr:col>
      <xdr:colOff>180975</xdr:colOff>
      <xdr:row>25</xdr:row>
      <xdr:rowOff>152400</xdr:rowOff>
    </xdr:from>
    <xdr:ext cx="4124325" cy="2514600"/>
    <xdr:graphicFrame>
      <xdr:nvGraphicFramePr>
        <xdr:cNvPr id="1854404701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65</xdr:col>
      <xdr:colOff>123825</xdr:colOff>
      <xdr:row>26</xdr:row>
      <xdr:rowOff>28575</xdr:rowOff>
    </xdr:from>
    <xdr:ext cx="4124325" cy="2505075"/>
    <xdr:graphicFrame>
      <xdr:nvGraphicFramePr>
        <xdr:cNvPr id="73874248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0</xdr:colOff>
      <xdr:row>38</xdr:row>
      <xdr:rowOff>190500</xdr:rowOff>
    </xdr:from>
    <xdr:ext cx="4171950" cy="2533650"/>
    <xdr:graphicFrame>
      <xdr:nvGraphicFramePr>
        <xdr:cNvPr id="1277513939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40</xdr:col>
      <xdr:colOff>190500</xdr:colOff>
      <xdr:row>38</xdr:row>
      <xdr:rowOff>152400</xdr:rowOff>
    </xdr:from>
    <xdr:ext cx="4124325" cy="2505075"/>
    <xdr:graphicFrame>
      <xdr:nvGraphicFramePr>
        <xdr:cNvPr id="632504410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65</xdr:col>
      <xdr:colOff>114300</xdr:colOff>
      <xdr:row>39</xdr:row>
      <xdr:rowOff>0</xdr:rowOff>
    </xdr:from>
    <xdr:ext cx="4133850" cy="2514600"/>
    <xdr:graphicFrame>
      <xdr:nvGraphicFramePr>
        <xdr:cNvPr id="1267231545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16</xdr:col>
      <xdr:colOff>19050</xdr:colOff>
      <xdr:row>119</xdr:row>
      <xdr:rowOff>19050</xdr:rowOff>
    </xdr:from>
    <xdr:ext cx="4171950" cy="2524125"/>
    <xdr:graphicFrame>
      <xdr:nvGraphicFramePr>
        <xdr:cNvPr id="1560521053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16</xdr:col>
      <xdr:colOff>57150</xdr:colOff>
      <xdr:row>188</xdr:row>
      <xdr:rowOff>85725</xdr:rowOff>
    </xdr:from>
    <xdr:ext cx="4152900" cy="2581275"/>
    <xdr:graphicFrame>
      <xdr:nvGraphicFramePr>
        <xdr:cNvPr id="1384271637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40</xdr:col>
      <xdr:colOff>28575</xdr:colOff>
      <xdr:row>118</xdr:row>
      <xdr:rowOff>104775</xdr:rowOff>
    </xdr:from>
    <xdr:ext cx="4124325" cy="2847975"/>
    <xdr:graphicFrame>
      <xdr:nvGraphicFramePr>
        <xdr:cNvPr id="1573108426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65</xdr:col>
      <xdr:colOff>19050</xdr:colOff>
      <xdr:row>118</xdr:row>
      <xdr:rowOff>161925</xdr:rowOff>
    </xdr:from>
    <xdr:ext cx="4124325" cy="2543175"/>
    <xdr:graphicFrame>
      <xdr:nvGraphicFramePr>
        <xdr:cNvPr id="1795937827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40</xdr:col>
      <xdr:colOff>57150</xdr:colOff>
      <xdr:row>189</xdr:row>
      <xdr:rowOff>9525</xdr:rowOff>
    </xdr:from>
    <xdr:ext cx="4124325" cy="2828925"/>
    <xdr:graphicFrame>
      <xdr:nvGraphicFramePr>
        <xdr:cNvPr id="9810485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64</xdr:col>
      <xdr:colOff>9525</xdr:colOff>
      <xdr:row>189</xdr:row>
      <xdr:rowOff>47625</xdr:rowOff>
    </xdr:from>
    <xdr:ext cx="4124325" cy="2514600"/>
    <xdr:graphicFrame>
      <xdr:nvGraphicFramePr>
        <xdr:cNvPr id="36797091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3</xdr:col>
      <xdr:colOff>428625</xdr:colOff>
      <xdr:row>147</xdr:row>
      <xdr:rowOff>19050</xdr:rowOff>
    </xdr:from>
    <xdr:ext cx="447675" cy="180975"/>
    <xdr:sp>
      <xdr:nvSpPr>
        <xdr:cNvPr id="109" name="Shape 109"/>
        <xdr:cNvSpPr txBox="1"/>
      </xdr:nvSpPr>
      <xdr:spPr>
        <a:xfrm>
          <a:off x="5122596" y="3693887"/>
          <a:ext cx="446809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561975</xdr:colOff>
      <xdr:row>146</xdr:row>
      <xdr:rowOff>171450</xdr:rowOff>
    </xdr:from>
    <xdr:ext cx="857250" cy="180975"/>
    <xdr:sp>
      <xdr:nvSpPr>
        <xdr:cNvPr id="110" name="Shape 110"/>
        <xdr:cNvSpPr txBox="1"/>
      </xdr:nvSpPr>
      <xdr:spPr>
        <a:xfrm>
          <a:off x="4921704" y="3690584"/>
          <a:ext cx="848592" cy="178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24</xdr:row>
      <xdr:rowOff>28575</xdr:rowOff>
    </xdr:from>
    <xdr:ext cx="552450" cy="257175"/>
    <xdr:sp>
      <xdr:nvSpPr>
        <xdr:cNvPr id="111" name="Shape 111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209550</xdr:colOff>
      <xdr:row>24</xdr:row>
      <xdr:rowOff>95250</xdr:rowOff>
    </xdr:from>
    <xdr:ext cx="400050" cy="180975"/>
    <xdr:sp>
      <xdr:nvSpPr>
        <xdr:cNvPr id="112" name="Shape 112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104775</xdr:colOff>
      <xdr:row>24</xdr:row>
      <xdr:rowOff>0</xdr:rowOff>
    </xdr:from>
    <xdr:ext cx="600075" cy="323850"/>
    <xdr:sp>
      <xdr:nvSpPr>
        <xdr:cNvPr id="91" name="Shape 91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219075</xdr:colOff>
      <xdr:row>24</xdr:row>
      <xdr:rowOff>38100</xdr:rowOff>
    </xdr:from>
    <xdr:ext cx="552450" cy="257175"/>
    <xdr:sp>
      <xdr:nvSpPr>
        <xdr:cNvPr id="23" name="Shape 23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247650</xdr:colOff>
      <xdr:row>24</xdr:row>
      <xdr:rowOff>76200</xdr:rowOff>
    </xdr:from>
    <xdr:ext cx="400050" cy="180975"/>
    <xdr:sp>
      <xdr:nvSpPr>
        <xdr:cNvPr id="51" name="Shape 51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32</xdr:col>
      <xdr:colOff>123825</xdr:colOff>
      <xdr:row>24</xdr:row>
      <xdr:rowOff>19050</xdr:rowOff>
    </xdr:from>
    <xdr:ext cx="600075" cy="323850"/>
    <xdr:sp>
      <xdr:nvSpPr>
        <xdr:cNvPr id="53" name="Shape 53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54</xdr:col>
      <xdr:colOff>228600</xdr:colOff>
      <xdr:row>24</xdr:row>
      <xdr:rowOff>9525</xdr:rowOff>
    </xdr:from>
    <xdr:ext cx="552450" cy="257175"/>
    <xdr:sp>
      <xdr:nvSpPr>
        <xdr:cNvPr id="113" name="Shape 113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55</xdr:col>
      <xdr:colOff>247650</xdr:colOff>
      <xdr:row>24</xdr:row>
      <xdr:rowOff>38100</xdr:rowOff>
    </xdr:from>
    <xdr:ext cx="400050" cy="180975"/>
    <xdr:sp>
      <xdr:nvSpPr>
        <xdr:cNvPr id="114" name="Shape 114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56</xdr:col>
      <xdr:colOff>114300</xdr:colOff>
      <xdr:row>23</xdr:row>
      <xdr:rowOff>171450</xdr:rowOff>
    </xdr:from>
    <xdr:ext cx="600075" cy="323850"/>
    <xdr:sp>
      <xdr:nvSpPr>
        <xdr:cNvPr id="53" name="Shape 53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866775</xdr:colOff>
      <xdr:row>36</xdr:row>
      <xdr:rowOff>28575</xdr:rowOff>
    </xdr:from>
    <xdr:ext cx="1114425" cy="447675"/>
    <xdr:sp>
      <xdr:nvSpPr>
        <xdr:cNvPr id="93" name="Shape 93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66675</xdr:colOff>
      <xdr:row>37</xdr:row>
      <xdr:rowOff>38100</xdr:rowOff>
    </xdr:from>
    <xdr:ext cx="733425" cy="180975"/>
    <xdr:sp>
      <xdr:nvSpPr>
        <xdr:cNvPr id="55" name="Shape 55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228600</xdr:colOff>
      <xdr:row>37</xdr:row>
      <xdr:rowOff>19050</xdr:rowOff>
    </xdr:from>
    <xdr:ext cx="781050" cy="238125"/>
    <xdr:sp>
      <xdr:nvSpPr>
        <xdr:cNvPr id="115" name="Shape 115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32</xdr:col>
      <xdr:colOff>514350</xdr:colOff>
      <xdr:row>36</xdr:row>
      <xdr:rowOff>9525</xdr:rowOff>
    </xdr:from>
    <xdr:ext cx="1114425" cy="447675"/>
    <xdr:sp>
      <xdr:nvSpPr>
        <xdr:cNvPr id="54" name="Shape 54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628650</xdr:colOff>
      <xdr:row>37</xdr:row>
      <xdr:rowOff>19050</xdr:rowOff>
    </xdr:from>
    <xdr:ext cx="733425" cy="180975"/>
    <xdr:sp>
      <xdr:nvSpPr>
        <xdr:cNvPr id="116" name="Shape 116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476250</xdr:colOff>
      <xdr:row>37</xdr:row>
      <xdr:rowOff>0</xdr:rowOff>
    </xdr:from>
    <xdr:ext cx="781050" cy="238125"/>
    <xdr:sp>
      <xdr:nvSpPr>
        <xdr:cNvPr id="97" name="Shape 97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56</xdr:col>
      <xdr:colOff>800100</xdr:colOff>
      <xdr:row>36</xdr:row>
      <xdr:rowOff>28575</xdr:rowOff>
    </xdr:from>
    <xdr:ext cx="1114425" cy="447675"/>
    <xdr:sp>
      <xdr:nvSpPr>
        <xdr:cNvPr id="54" name="Shape 54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56</xdr:col>
      <xdr:colOff>0</xdr:colOff>
      <xdr:row>37</xdr:row>
      <xdr:rowOff>38100</xdr:rowOff>
    </xdr:from>
    <xdr:ext cx="733425" cy="180975"/>
    <xdr:sp>
      <xdr:nvSpPr>
        <xdr:cNvPr id="117" name="Shape 117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54</xdr:col>
      <xdr:colOff>781050</xdr:colOff>
      <xdr:row>37</xdr:row>
      <xdr:rowOff>19050</xdr:rowOff>
    </xdr:from>
    <xdr:ext cx="781050" cy="238125"/>
    <xdr:sp>
      <xdr:nvSpPr>
        <xdr:cNvPr id="118" name="Shape 118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6</xdr:col>
      <xdr:colOff>266700</xdr:colOff>
      <xdr:row>118</xdr:row>
      <xdr:rowOff>104775</xdr:rowOff>
    </xdr:from>
    <xdr:ext cx="723900" cy="371475"/>
    <xdr:sp>
      <xdr:nvSpPr>
        <xdr:cNvPr id="33" name="Shape 33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66675</xdr:colOff>
      <xdr:row>118</xdr:row>
      <xdr:rowOff>95250</xdr:rowOff>
    </xdr:from>
    <xdr:ext cx="666750" cy="371475"/>
    <xdr:sp>
      <xdr:nvSpPr>
        <xdr:cNvPr id="61" name="Shape 61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76200</xdr:colOff>
      <xdr:row>118</xdr:row>
      <xdr:rowOff>152400</xdr:rowOff>
    </xdr:from>
    <xdr:ext cx="857250" cy="190500"/>
    <xdr:sp>
      <xdr:nvSpPr>
        <xdr:cNvPr id="101" name="Shape 101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188</xdr:row>
      <xdr:rowOff>152400</xdr:rowOff>
    </xdr:from>
    <xdr:ext cx="638175" cy="323850"/>
    <xdr:sp>
      <xdr:nvSpPr>
        <xdr:cNvPr id="63" name="Shape 63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66675</xdr:colOff>
      <xdr:row>188</xdr:row>
      <xdr:rowOff>104775</xdr:rowOff>
    </xdr:from>
    <xdr:ext cx="600075" cy="352425"/>
    <xdr:sp>
      <xdr:nvSpPr>
        <xdr:cNvPr id="64" name="Shape 64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257175</xdr:colOff>
      <xdr:row>189</xdr:row>
      <xdr:rowOff>19050</xdr:rowOff>
    </xdr:from>
    <xdr:ext cx="657225" cy="257175"/>
    <xdr:sp>
      <xdr:nvSpPr>
        <xdr:cNvPr id="43" name="Shape 43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885825</xdr:colOff>
      <xdr:row>117</xdr:row>
      <xdr:rowOff>114300</xdr:rowOff>
    </xdr:from>
    <xdr:ext cx="1257300" cy="381000"/>
    <xdr:sp>
      <xdr:nvSpPr>
        <xdr:cNvPr id="119" name="Shape 119"/>
        <xdr:cNvSpPr txBox="1"/>
      </xdr:nvSpPr>
      <xdr:spPr>
        <a:xfrm>
          <a:off x="4717719" y="3589820"/>
          <a:ext cx="1256562" cy="38036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342900</xdr:colOff>
      <xdr:row>118</xdr:row>
      <xdr:rowOff>0</xdr:rowOff>
    </xdr:from>
    <xdr:ext cx="723900" cy="371475"/>
    <xdr:sp>
      <xdr:nvSpPr>
        <xdr:cNvPr id="120" name="Shape 120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28575</xdr:colOff>
      <xdr:row>117</xdr:row>
      <xdr:rowOff>171450</xdr:rowOff>
    </xdr:from>
    <xdr:ext cx="666750" cy="371475"/>
    <xdr:sp>
      <xdr:nvSpPr>
        <xdr:cNvPr id="34" name="Shape 34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400050</xdr:colOff>
      <xdr:row>118</xdr:row>
      <xdr:rowOff>47625</xdr:rowOff>
    </xdr:from>
    <xdr:ext cx="857250" cy="190500"/>
    <xdr:sp>
      <xdr:nvSpPr>
        <xdr:cNvPr id="69" name="Shape 69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314325</xdr:colOff>
      <xdr:row>117</xdr:row>
      <xdr:rowOff>104775</xdr:rowOff>
    </xdr:from>
    <xdr:ext cx="1390650" cy="295275"/>
    <xdr:sp>
      <xdr:nvSpPr>
        <xdr:cNvPr id="121" name="Shape 121"/>
        <xdr:cNvSpPr txBox="1"/>
      </xdr:nvSpPr>
      <xdr:spPr>
        <a:xfrm>
          <a:off x="4655438" y="3633133"/>
          <a:ext cx="1381125" cy="29373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1/2</a:t>
          </a:r>
          <a:endParaRPr sz="1400"/>
        </a:p>
      </xdr:txBody>
    </xdr:sp>
    <xdr:clientData fLocksWithSheet="0"/>
  </xdr:oneCellAnchor>
  <xdr:oneCellAnchor>
    <xdr:from>
      <xdr:col>50</xdr:col>
      <xdr:colOff>304800</xdr:colOff>
      <xdr:row>117</xdr:row>
      <xdr:rowOff>104775</xdr:rowOff>
    </xdr:from>
    <xdr:ext cx="723900" cy="371475"/>
    <xdr:sp>
      <xdr:nvSpPr>
        <xdr:cNvPr id="67" name="Shape 67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49</xdr:col>
      <xdr:colOff>66675</xdr:colOff>
      <xdr:row>117</xdr:row>
      <xdr:rowOff>95250</xdr:rowOff>
    </xdr:from>
    <xdr:ext cx="666750" cy="371475"/>
    <xdr:sp>
      <xdr:nvSpPr>
        <xdr:cNvPr id="72" name="Shape 72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51</xdr:col>
      <xdr:colOff>342900</xdr:colOff>
      <xdr:row>117</xdr:row>
      <xdr:rowOff>152400</xdr:rowOff>
    </xdr:from>
    <xdr:ext cx="857250" cy="190500"/>
    <xdr:sp>
      <xdr:nvSpPr>
        <xdr:cNvPr id="73" name="Shape 73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55</xdr:col>
      <xdr:colOff>228600</xdr:colOff>
      <xdr:row>117</xdr:row>
      <xdr:rowOff>38100</xdr:rowOff>
    </xdr:from>
    <xdr:ext cx="1390650" cy="295275"/>
    <xdr:sp>
      <xdr:nvSpPr>
        <xdr:cNvPr id="122" name="Shape 122"/>
        <xdr:cNvSpPr txBox="1"/>
      </xdr:nvSpPr>
      <xdr:spPr>
        <a:xfrm>
          <a:off x="4655438" y="3633133"/>
          <a:ext cx="1381125" cy="29373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1/2</a:t>
          </a:r>
          <a:endParaRPr sz="1400"/>
        </a:p>
      </xdr:txBody>
    </xdr:sp>
    <xdr:clientData fLocksWithSheet="0"/>
  </xdr:oneCellAnchor>
  <xdr:oneCellAnchor>
    <xdr:from>
      <xdr:col>26</xdr:col>
      <xdr:colOff>133350</xdr:colOff>
      <xdr:row>188</xdr:row>
      <xdr:rowOff>123825</xdr:rowOff>
    </xdr:from>
    <xdr:ext cx="638175" cy="323850"/>
    <xdr:sp>
      <xdr:nvSpPr>
        <xdr:cNvPr id="123" name="Shape 123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38100</xdr:colOff>
      <xdr:row>188</xdr:row>
      <xdr:rowOff>76200</xdr:rowOff>
    </xdr:from>
    <xdr:ext cx="600075" cy="352425"/>
    <xdr:sp>
      <xdr:nvSpPr>
        <xdr:cNvPr id="64" name="Shape 64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123825</xdr:colOff>
      <xdr:row>189</xdr:row>
      <xdr:rowOff>0</xdr:rowOff>
    </xdr:from>
    <xdr:ext cx="657225" cy="257175"/>
    <xdr:sp>
      <xdr:nvSpPr>
        <xdr:cNvPr id="43" name="Shape 43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50</xdr:col>
      <xdr:colOff>123825</xdr:colOff>
      <xdr:row>188</xdr:row>
      <xdr:rowOff>104775</xdr:rowOff>
    </xdr:from>
    <xdr:ext cx="638175" cy="323850"/>
    <xdr:sp>
      <xdr:nvSpPr>
        <xdr:cNvPr id="75" name="Shape 75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49</xdr:col>
      <xdr:colOff>76200</xdr:colOff>
      <xdr:row>188</xdr:row>
      <xdr:rowOff>76200</xdr:rowOff>
    </xdr:from>
    <xdr:ext cx="600075" cy="352425"/>
    <xdr:sp>
      <xdr:nvSpPr>
        <xdr:cNvPr id="124" name="Shape 124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51</xdr:col>
      <xdr:colOff>142875</xdr:colOff>
      <xdr:row>188</xdr:row>
      <xdr:rowOff>171450</xdr:rowOff>
    </xdr:from>
    <xdr:ext cx="657225" cy="257175"/>
    <xdr:sp>
      <xdr:nvSpPr>
        <xdr:cNvPr id="125" name="Shape 125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333375</xdr:colOff>
      <xdr:row>10</xdr:row>
      <xdr:rowOff>133350</xdr:rowOff>
    </xdr:from>
    <xdr:ext cx="495300" cy="342900"/>
    <xdr:sp>
      <xdr:nvSpPr>
        <xdr:cNvPr id="77" name="Shape 77"/>
        <xdr:cNvSpPr txBox="1"/>
      </xdr:nvSpPr>
      <xdr:spPr>
        <a:xfrm>
          <a:off x="5102160" y="3609584"/>
          <a:ext cx="487680" cy="340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371475</xdr:colOff>
      <xdr:row>10</xdr:row>
      <xdr:rowOff>76200</xdr:rowOff>
    </xdr:from>
    <xdr:ext cx="504825" cy="390525"/>
    <xdr:sp>
      <xdr:nvSpPr>
        <xdr:cNvPr id="78" name="Shape 78"/>
        <xdr:cNvSpPr txBox="1"/>
      </xdr:nvSpPr>
      <xdr:spPr>
        <a:xfrm>
          <a:off x="5094540" y="3585690"/>
          <a:ext cx="502920" cy="3886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76200</xdr:colOff>
      <xdr:row>11</xdr:row>
      <xdr:rowOff>9525</xdr:rowOff>
    </xdr:from>
    <xdr:ext cx="685800" cy="200025"/>
    <xdr:sp>
      <xdr:nvSpPr>
        <xdr:cNvPr id="79" name="Shape 79"/>
        <xdr:cNvSpPr txBox="1"/>
      </xdr:nvSpPr>
      <xdr:spPr>
        <a:xfrm>
          <a:off x="5006910" y="3680940"/>
          <a:ext cx="678180" cy="1981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1209675</xdr:colOff>
      <xdr:row>36</xdr:row>
      <xdr:rowOff>104775</xdr:rowOff>
    </xdr:from>
    <xdr:ext cx="1285875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36</xdr:row>
      <xdr:rowOff>38100</xdr:rowOff>
    </xdr:from>
    <xdr:ext cx="116205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828675</xdr:colOff>
      <xdr:row>36</xdr:row>
      <xdr:rowOff>104775</xdr:rowOff>
    </xdr:from>
    <xdr:ext cx="1295400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828675</xdr:colOff>
      <xdr:row>36</xdr:row>
      <xdr:rowOff>19050</xdr:rowOff>
    </xdr:from>
    <xdr:ext cx="114300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876300</xdr:colOff>
      <xdr:row>36</xdr:row>
      <xdr:rowOff>104775</xdr:rowOff>
    </xdr:from>
    <xdr:ext cx="1295400" cy="228600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228600</xdr:colOff>
      <xdr:row>36</xdr:row>
      <xdr:rowOff>38100</xdr:rowOff>
    </xdr:from>
    <xdr:ext cx="1162050" cy="41910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146</xdr:row>
      <xdr:rowOff>9525</xdr:rowOff>
    </xdr:from>
    <xdr:ext cx="1104900" cy="419100"/>
    <xdr:pic>
      <xdr:nvPicPr>
        <xdr:cNvPr id="0" name="image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117</xdr:row>
      <xdr:rowOff>142875</xdr:rowOff>
    </xdr:from>
    <xdr:ext cx="1238250" cy="400050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187</xdr:row>
      <xdr:rowOff>133350</xdr:rowOff>
    </xdr:from>
    <xdr:ext cx="15906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352425</xdr:colOff>
      <xdr:row>117</xdr:row>
      <xdr:rowOff>38100</xdr:rowOff>
    </xdr:from>
    <xdr:ext cx="1238250" cy="400050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285750</xdr:colOff>
      <xdr:row>51</xdr:row>
      <xdr:rowOff>152400</xdr:rowOff>
    </xdr:from>
    <xdr:ext cx="1238250" cy="13401675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514350</xdr:colOff>
      <xdr:row>187</xdr:row>
      <xdr:rowOff>133350</xdr:rowOff>
    </xdr:from>
    <xdr:ext cx="14763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476250</xdr:colOff>
      <xdr:row>187</xdr:row>
      <xdr:rowOff>114300</xdr:rowOff>
    </xdr:from>
    <xdr:ext cx="1476375" cy="48577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9</xdr:row>
      <xdr:rowOff>161925</xdr:rowOff>
    </xdr:from>
    <xdr:ext cx="1419225" cy="381000"/>
    <xdr:pic>
      <xdr:nvPicPr>
        <xdr:cNvPr id="0" name="image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0</xdr:rowOff>
    </xdr:from>
    <xdr:ext cx="5800725" cy="2962275"/>
    <xdr:graphicFrame>
      <xdr:nvGraphicFramePr>
        <xdr:cNvPr id="525346791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15</xdr:row>
      <xdr:rowOff>0</xdr:rowOff>
    </xdr:from>
    <xdr:ext cx="5800725" cy="2962275"/>
    <xdr:graphicFrame>
      <xdr:nvGraphicFramePr>
        <xdr:cNvPr id="1391516339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30</xdr:row>
      <xdr:rowOff>0</xdr:rowOff>
    </xdr:from>
    <xdr:ext cx="5800725" cy="2962275"/>
    <xdr:graphicFrame>
      <xdr:nvGraphicFramePr>
        <xdr:cNvPr id="188570132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19050</xdr:colOff>
      <xdr:row>46</xdr:row>
      <xdr:rowOff>0</xdr:rowOff>
    </xdr:from>
    <xdr:ext cx="5791200" cy="2962275"/>
    <xdr:graphicFrame>
      <xdr:nvGraphicFramePr>
        <xdr:cNvPr id="874321206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19050</xdr:colOff>
      <xdr:row>61</xdr:row>
      <xdr:rowOff>9525</xdr:rowOff>
    </xdr:from>
    <xdr:ext cx="5791200" cy="2962275"/>
    <xdr:graphicFrame>
      <xdr:nvGraphicFramePr>
        <xdr:cNvPr id="613147334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19050</xdr:colOff>
      <xdr:row>76</xdr:row>
      <xdr:rowOff>9525</xdr:rowOff>
    </xdr:from>
    <xdr:ext cx="5791200" cy="2943225"/>
    <xdr:graphicFrame>
      <xdr:nvGraphicFramePr>
        <xdr:cNvPr id="813724273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9525</xdr:colOff>
      <xdr:row>92</xdr:row>
      <xdr:rowOff>0</xdr:rowOff>
    </xdr:from>
    <xdr:ext cx="5800725" cy="2962275"/>
    <xdr:graphicFrame>
      <xdr:nvGraphicFramePr>
        <xdr:cNvPr id="583317799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19050</xdr:colOff>
      <xdr:row>107</xdr:row>
      <xdr:rowOff>9525</xdr:rowOff>
    </xdr:from>
    <xdr:ext cx="5800725" cy="2962275"/>
    <xdr:graphicFrame>
      <xdr:nvGraphicFramePr>
        <xdr:cNvPr id="2132914421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9525</xdr:colOff>
      <xdr:row>122</xdr:row>
      <xdr:rowOff>0</xdr:rowOff>
    </xdr:from>
    <xdr:ext cx="5800725" cy="2952750"/>
    <xdr:graphicFrame>
      <xdr:nvGraphicFramePr>
        <xdr:cNvPr id="1403503062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104775</xdr:colOff>
      <xdr:row>4</xdr:row>
      <xdr:rowOff>0</xdr:rowOff>
    </xdr:from>
    <xdr:ext cx="1914525" cy="561975"/>
    <xdr:sp>
      <xdr:nvSpPr>
        <xdr:cNvPr id="80" name="Shape 80"/>
        <xdr:cNvSpPr txBox="1"/>
      </xdr:nvSpPr>
      <xdr:spPr>
        <a:xfrm>
          <a:off x="4389267" y="3502717"/>
          <a:ext cx="1913467" cy="554566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+ </a:t>
          </a:r>
          <a:endParaRPr sz="14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18</xdr:col>
      <xdr:colOff>38100</xdr:colOff>
      <xdr:row>0</xdr:row>
      <xdr:rowOff>19050</xdr:rowOff>
    </xdr:from>
    <xdr:ext cx="1752600" cy="323850"/>
    <xdr:sp>
      <xdr:nvSpPr>
        <xdr:cNvPr id="4" name="Shape 4"/>
        <xdr:cNvSpPr txBox="1"/>
      </xdr:nvSpPr>
      <xdr:spPr>
        <a:xfrm>
          <a:off x="4473934" y="3619134"/>
          <a:ext cx="1744133" cy="32173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390525</xdr:colOff>
      <xdr:row>6</xdr:row>
      <xdr:rowOff>114300</xdr:rowOff>
    </xdr:from>
    <xdr:ext cx="981075" cy="381000"/>
    <xdr:sp>
      <xdr:nvSpPr>
        <xdr:cNvPr id="81" name="Shape 81"/>
        <xdr:cNvSpPr txBox="1"/>
      </xdr:nvSpPr>
      <xdr:spPr>
        <a:xfrm>
          <a:off x="4859167" y="3593733"/>
          <a:ext cx="973667" cy="372534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 </a:t>
          </a:r>
          <a:endParaRPr sz="1200">
            <a:latin typeface="Cambria Math"/>
            <a:ea typeface="Cambria Math"/>
            <a:cs typeface="Cambria Math"/>
            <a:sym typeface="Cambria Math"/>
          </a:endParaRPr>
        </a:p>
      </xdr:txBody>
    </xdr:sp>
    <xdr:clientData fLocksWithSheet="0"/>
  </xdr:oneCellAnchor>
  <xdr:oneCellAnchor>
    <xdr:from>
      <xdr:col>19</xdr:col>
      <xdr:colOff>400050</xdr:colOff>
      <xdr:row>2</xdr:row>
      <xdr:rowOff>66675</xdr:rowOff>
    </xdr:from>
    <xdr:ext cx="695325" cy="381000"/>
    <xdr:sp>
      <xdr:nvSpPr>
        <xdr:cNvPr id="82" name="Shape 82"/>
        <xdr:cNvSpPr txBox="1"/>
      </xdr:nvSpPr>
      <xdr:spPr>
        <a:xfrm>
          <a:off x="4999206" y="3590942"/>
          <a:ext cx="693588" cy="37811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21</xdr:col>
      <xdr:colOff>333375</xdr:colOff>
      <xdr:row>2</xdr:row>
      <xdr:rowOff>66675</xdr:rowOff>
    </xdr:from>
    <xdr:ext cx="695325" cy="352425"/>
    <xdr:sp>
      <xdr:nvSpPr>
        <xdr:cNvPr id="7" name="Shape 7"/>
        <xdr:cNvSpPr txBox="1"/>
      </xdr:nvSpPr>
      <xdr:spPr>
        <a:xfrm>
          <a:off x="4999206" y="3606555"/>
          <a:ext cx="693588" cy="34689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361950</xdr:colOff>
      <xdr:row>4</xdr:row>
      <xdr:rowOff>66675</xdr:rowOff>
    </xdr:from>
    <xdr:ext cx="952500" cy="381000"/>
    <xdr:sp>
      <xdr:nvSpPr>
        <xdr:cNvPr id="83" name="Shape 83"/>
        <xdr:cNvSpPr txBox="1"/>
      </xdr:nvSpPr>
      <xdr:spPr>
        <a:xfrm>
          <a:off x="4872217" y="3590942"/>
          <a:ext cx="947567" cy="37811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21</xdr:col>
      <xdr:colOff>495300</xdr:colOff>
      <xdr:row>4</xdr:row>
      <xdr:rowOff>66675</xdr:rowOff>
    </xdr:from>
    <xdr:ext cx="952500" cy="381000"/>
    <xdr:sp>
      <xdr:nvSpPr>
        <xdr:cNvPr id="84" name="Shape 84"/>
        <xdr:cNvSpPr txBox="1"/>
      </xdr:nvSpPr>
      <xdr:spPr>
        <a:xfrm>
          <a:off x="4872217" y="3590942"/>
          <a:ext cx="947567" cy="37811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16</xdr:col>
      <xdr:colOff>142875</xdr:colOff>
      <xdr:row>11</xdr:row>
      <xdr:rowOff>66675</xdr:rowOff>
    </xdr:from>
    <xdr:ext cx="1962150" cy="409575"/>
    <xdr:sp>
      <xdr:nvSpPr>
        <xdr:cNvPr id="85" name="Shape 85"/>
        <xdr:cNvSpPr txBox="1"/>
      </xdr:nvSpPr>
      <xdr:spPr>
        <a:xfrm>
          <a:off x="4365445" y="3577032"/>
          <a:ext cx="1961111" cy="40593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581025</xdr:colOff>
      <xdr:row>12</xdr:row>
      <xdr:rowOff>95250</xdr:rowOff>
    </xdr:from>
    <xdr:ext cx="457200" cy="352425"/>
    <xdr:sp>
      <xdr:nvSpPr>
        <xdr:cNvPr id="86" name="Shape 86"/>
        <xdr:cNvSpPr txBox="1"/>
      </xdr:nvSpPr>
      <xdr:spPr>
        <a:xfrm>
          <a:off x="5119784" y="3607164"/>
          <a:ext cx="452432" cy="345672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581025</xdr:colOff>
      <xdr:row>11</xdr:row>
      <xdr:rowOff>85725</xdr:rowOff>
    </xdr:from>
    <xdr:ext cx="57150" cy="838200"/>
    <xdr:sp>
      <xdr:nvSpPr>
        <xdr:cNvPr id="87" name="Shape 87"/>
        <xdr:cNvSpPr/>
      </xdr:nvSpPr>
      <xdr:spPr>
        <a:xfrm>
          <a:off x="5322188" y="3365663"/>
          <a:ext cx="47625" cy="828675"/>
        </a:xfrm>
        <a:prstGeom prst="lef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238125</xdr:colOff>
      <xdr:row>13</xdr:row>
      <xdr:rowOff>114300</xdr:rowOff>
    </xdr:from>
    <xdr:ext cx="495300" cy="342900"/>
    <xdr:sp>
      <xdr:nvSpPr>
        <xdr:cNvPr id="88" name="Shape 88"/>
        <xdr:cNvSpPr txBox="1"/>
      </xdr:nvSpPr>
      <xdr:spPr>
        <a:xfrm>
          <a:off x="5102160" y="3609584"/>
          <a:ext cx="487680" cy="34083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238125</xdr:colOff>
      <xdr:row>11</xdr:row>
      <xdr:rowOff>57150</xdr:rowOff>
    </xdr:from>
    <xdr:ext cx="504825" cy="390525"/>
    <xdr:sp>
      <xdr:nvSpPr>
        <xdr:cNvPr id="14" name="Shape 14"/>
        <xdr:cNvSpPr txBox="1"/>
      </xdr:nvSpPr>
      <xdr:spPr>
        <a:xfrm>
          <a:off x="5094540" y="3585690"/>
          <a:ext cx="502920" cy="3886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581025</xdr:colOff>
      <xdr:row>9</xdr:row>
      <xdr:rowOff>161925</xdr:rowOff>
    </xdr:from>
    <xdr:ext cx="666750" cy="180975"/>
    <xdr:sp>
      <xdr:nvSpPr>
        <xdr:cNvPr id="89" name="Shape 89"/>
        <xdr:cNvSpPr txBox="1"/>
      </xdr:nvSpPr>
      <xdr:spPr>
        <a:xfrm>
          <a:off x="5014916" y="3693887"/>
          <a:ext cx="662169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95250</xdr:colOff>
      <xdr:row>10</xdr:row>
      <xdr:rowOff>28575</xdr:rowOff>
    </xdr:from>
    <xdr:ext cx="152400" cy="57150"/>
    <xdr:sp>
      <xdr:nvSpPr>
        <xdr:cNvPr id="44" name="Shape 44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180975</xdr:colOff>
      <xdr:row>5</xdr:row>
      <xdr:rowOff>57150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19050</xdr:colOff>
      <xdr:row>3</xdr:row>
      <xdr:rowOff>38100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371475</xdr:colOff>
      <xdr:row>9</xdr:row>
      <xdr:rowOff>161925</xdr:rowOff>
    </xdr:from>
    <xdr:ext cx="685800" cy="200025"/>
    <xdr:sp>
      <xdr:nvSpPr>
        <xdr:cNvPr id="18" name="Shape 18"/>
        <xdr:cNvSpPr txBox="1"/>
      </xdr:nvSpPr>
      <xdr:spPr>
        <a:xfrm>
          <a:off x="5006910" y="3680940"/>
          <a:ext cx="678180" cy="19812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161925</xdr:colOff>
      <xdr:row>18</xdr:row>
      <xdr:rowOff>57150</xdr:rowOff>
    </xdr:from>
    <xdr:ext cx="1676400" cy="381000"/>
    <xdr:sp>
      <xdr:nvSpPr>
        <xdr:cNvPr id="90" name="Shape 90"/>
        <xdr:cNvSpPr txBox="1"/>
      </xdr:nvSpPr>
      <xdr:spPr>
        <a:xfrm>
          <a:off x="4512086" y="3592032"/>
          <a:ext cx="1667828" cy="37593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333375</xdr:colOff>
      <xdr:row>20</xdr:row>
      <xdr:rowOff>104775</xdr:rowOff>
    </xdr:from>
    <xdr:ext cx="533400" cy="352425"/>
    <xdr:sp>
      <xdr:nvSpPr>
        <xdr:cNvPr id="20" name="Shape 20"/>
        <xdr:cNvSpPr txBox="1"/>
      </xdr:nvSpPr>
      <xdr:spPr>
        <a:xfrm>
          <a:off x="5080415" y="3607709"/>
          <a:ext cx="531171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381000</xdr:colOff>
      <xdr:row>21</xdr:row>
      <xdr:rowOff>66675</xdr:rowOff>
    </xdr:from>
    <xdr:ext cx="152400" cy="57150"/>
    <xdr:sp>
      <xdr:nvSpPr>
        <xdr:cNvPr id="44" name="Shape 44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20</xdr:row>
      <xdr:rowOff>104775</xdr:rowOff>
    </xdr:from>
    <xdr:ext cx="600075" cy="323850"/>
    <xdr:sp>
      <xdr:nvSpPr>
        <xdr:cNvPr id="91" name="Shape 91"/>
        <xdr:cNvSpPr txBox="1"/>
      </xdr:nvSpPr>
      <xdr:spPr>
        <a:xfrm>
          <a:off x="5047104" y="3622104"/>
          <a:ext cx="597792" cy="31579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314325</xdr:colOff>
      <xdr:row>16</xdr:row>
      <xdr:rowOff>47625</xdr:rowOff>
    </xdr:from>
    <xdr:ext cx="885825" cy="352425"/>
    <xdr:sp>
      <xdr:nvSpPr>
        <xdr:cNvPr id="92" name="Shape 92"/>
        <xdr:cNvSpPr txBox="1"/>
      </xdr:nvSpPr>
      <xdr:spPr>
        <a:xfrm>
          <a:off x="4904950" y="3607709"/>
          <a:ext cx="882100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38100</xdr:colOff>
      <xdr:row>17</xdr:row>
      <xdr:rowOff>0</xdr:rowOff>
    </xdr:from>
    <xdr:ext cx="152400" cy="57150"/>
    <xdr:sp>
      <xdr:nvSpPr>
        <xdr:cNvPr id="44" name="Shape 44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323850</xdr:colOff>
      <xdr:row>16</xdr:row>
      <xdr:rowOff>66675</xdr:rowOff>
    </xdr:from>
    <xdr:ext cx="552450" cy="257175"/>
    <xdr:sp>
      <xdr:nvSpPr>
        <xdr:cNvPr id="23" name="Shape 23"/>
        <xdr:cNvSpPr txBox="1"/>
      </xdr:nvSpPr>
      <xdr:spPr>
        <a:xfrm>
          <a:off x="5071680" y="3652241"/>
          <a:ext cx="548640" cy="25551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333375</xdr:colOff>
      <xdr:row>18</xdr:row>
      <xdr:rowOff>66675</xdr:rowOff>
    </xdr:from>
    <xdr:ext cx="552450" cy="352425"/>
    <xdr:sp>
      <xdr:nvSpPr>
        <xdr:cNvPr id="24" name="Shape 24"/>
        <xdr:cNvSpPr txBox="1"/>
      </xdr:nvSpPr>
      <xdr:spPr>
        <a:xfrm>
          <a:off x="5073265" y="3607709"/>
          <a:ext cx="545470" cy="34458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400050</xdr:colOff>
      <xdr:row>19</xdr:row>
      <xdr:rowOff>38100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18</xdr:row>
      <xdr:rowOff>142875</xdr:rowOff>
    </xdr:from>
    <xdr:ext cx="400050" cy="180975"/>
    <xdr:sp>
      <xdr:nvSpPr>
        <xdr:cNvPr id="51" name="Shape 51"/>
        <xdr:cNvSpPr txBox="1"/>
      </xdr:nvSpPr>
      <xdr:spPr>
        <a:xfrm>
          <a:off x="5148959" y="3693887"/>
          <a:ext cx="394082" cy="17222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523875</xdr:colOff>
      <xdr:row>26</xdr:row>
      <xdr:rowOff>161925</xdr:rowOff>
    </xdr:from>
    <xdr:ext cx="1114425" cy="447675"/>
    <xdr:sp>
      <xdr:nvSpPr>
        <xdr:cNvPr id="93" name="Shape 93"/>
        <xdr:cNvSpPr txBox="1"/>
      </xdr:nvSpPr>
      <xdr:spPr>
        <a:xfrm>
          <a:off x="4793550" y="3560485"/>
          <a:ext cx="1104901" cy="43903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514350</xdr:colOff>
      <xdr:row>23</xdr:row>
      <xdr:rowOff>114300</xdr:rowOff>
    </xdr:from>
    <xdr:ext cx="733425" cy="180975"/>
    <xdr:sp>
      <xdr:nvSpPr>
        <xdr:cNvPr id="94" name="Shape 94"/>
        <xdr:cNvSpPr txBox="1"/>
      </xdr:nvSpPr>
      <xdr:spPr>
        <a:xfrm>
          <a:off x="4980586" y="3693410"/>
          <a:ext cx="730828" cy="173181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85725</xdr:colOff>
      <xdr:row>25</xdr:row>
      <xdr:rowOff>161925</xdr:rowOff>
    </xdr:from>
    <xdr:ext cx="2057400" cy="228600"/>
    <xdr:sp>
      <xdr:nvSpPr>
        <xdr:cNvPr id="95" name="Shape 95"/>
        <xdr:cNvSpPr txBox="1"/>
      </xdr:nvSpPr>
      <xdr:spPr>
        <a:xfrm>
          <a:off x="4319033" y="3668463"/>
          <a:ext cx="2053935" cy="223074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514350</xdr:colOff>
      <xdr:row>25</xdr:row>
      <xdr:rowOff>28575</xdr:rowOff>
    </xdr:from>
    <xdr:ext cx="752475" cy="180975"/>
    <xdr:sp>
      <xdr:nvSpPr>
        <xdr:cNvPr id="96" name="Shape 96"/>
        <xdr:cNvSpPr txBox="1"/>
      </xdr:nvSpPr>
      <xdr:spPr>
        <a:xfrm>
          <a:off x="4970609" y="3693887"/>
          <a:ext cx="750783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114300</xdr:colOff>
      <xdr:row>25</xdr:row>
      <xdr:rowOff>85725</xdr:rowOff>
    </xdr:from>
    <xdr:ext cx="152400" cy="57150"/>
    <xdr:sp>
      <xdr:nvSpPr>
        <xdr:cNvPr id="44" name="Shape 44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400050</xdr:colOff>
      <xdr:row>25</xdr:row>
      <xdr:rowOff>0</xdr:rowOff>
    </xdr:from>
    <xdr:ext cx="781050" cy="238125"/>
    <xdr:sp>
      <xdr:nvSpPr>
        <xdr:cNvPr id="97" name="Shape 97"/>
        <xdr:cNvSpPr txBox="1"/>
      </xdr:nvSpPr>
      <xdr:spPr>
        <a:xfrm>
          <a:off x="4956339" y="3662101"/>
          <a:ext cx="779322" cy="23579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16</xdr:col>
      <xdr:colOff>238125</xdr:colOff>
      <xdr:row>32</xdr:row>
      <xdr:rowOff>47625</xdr:rowOff>
    </xdr:from>
    <xdr:ext cx="1495425" cy="400050"/>
    <xdr:sp>
      <xdr:nvSpPr>
        <xdr:cNvPr id="98" name="Shape 98"/>
        <xdr:cNvSpPr txBox="1"/>
      </xdr:nvSpPr>
      <xdr:spPr>
        <a:xfrm>
          <a:off x="4599642" y="3580330"/>
          <a:ext cx="1492716" cy="39934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19</xdr:col>
      <xdr:colOff>266700</xdr:colOff>
      <xdr:row>30</xdr:row>
      <xdr:rowOff>76200</xdr:rowOff>
    </xdr:from>
    <xdr:ext cx="657225" cy="371475"/>
    <xdr:sp>
      <xdr:nvSpPr>
        <xdr:cNvPr id="32" name="Shape 32"/>
        <xdr:cNvSpPr txBox="1"/>
      </xdr:nvSpPr>
      <xdr:spPr>
        <a:xfrm>
          <a:off x="5020462" y="3597995"/>
          <a:ext cx="651076" cy="36401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428625</xdr:colOff>
      <xdr:row>31</xdr:row>
      <xdr:rowOff>28575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95250</xdr:colOff>
      <xdr:row>30</xdr:row>
      <xdr:rowOff>66675</xdr:rowOff>
    </xdr:from>
    <xdr:ext cx="723900" cy="371475"/>
    <xdr:sp>
      <xdr:nvSpPr>
        <xdr:cNvPr id="33" name="Shape 33"/>
        <xdr:cNvSpPr txBox="1"/>
      </xdr:nvSpPr>
      <xdr:spPr>
        <a:xfrm>
          <a:off x="4987514" y="3596427"/>
          <a:ext cx="716973" cy="367147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314325</xdr:colOff>
      <xdr:row>32</xdr:row>
      <xdr:rowOff>85725</xdr:rowOff>
    </xdr:from>
    <xdr:ext cx="666750" cy="371475"/>
    <xdr:sp>
      <xdr:nvSpPr>
        <xdr:cNvPr id="99" name="Shape 99"/>
        <xdr:cNvSpPr txBox="1"/>
      </xdr:nvSpPr>
      <xdr:spPr>
        <a:xfrm>
          <a:off x="5016955" y="3596426"/>
          <a:ext cx="658091" cy="367148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342900</xdr:colOff>
      <xdr:row>34</xdr:row>
      <xdr:rowOff>133350</xdr:rowOff>
    </xdr:from>
    <xdr:ext cx="523875" cy="371475"/>
    <xdr:sp>
      <xdr:nvSpPr>
        <xdr:cNvPr id="100" name="Shape 100"/>
        <xdr:cNvSpPr txBox="1"/>
      </xdr:nvSpPr>
      <xdr:spPr>
        <a:xfrm>
          <a:off x="5086410" y="3597001"/>
          <a:ext cx="519180" cy="365998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381000</xdr:colOff>
      <xdr:row>35</xdr:row>
      <xdr:rowOff>95250</xdr:rowOff>
    </xdr:from>
    <xdr:ext cx="152400" cy="57150"/>
    <xdr:sp>
      <xdr:nvSpPr>
        <xdr:cNvPr id="16" name="Shape 16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66675</xdr:colOff>
      <xdr:row>35</xdr:row>
      <xdr:rowOff>0</xdr:rowOff>
    </xdr:from>
    <xdr:ext cx="857250" cy="190500"/>
    <xdr:sp>
      <xdr:nvSpPr>
        <xdr:cNvPr id="101" name="Shape 101"/>
        <xdr:cNvSpPr txBox="1"/>
      </xdr:nvSpPr>
      <xdr:spPr>
        <a:xfrm>
          <a:off x="4919973" y="3689270"/>
          <a:ext cx="852054" cy="18146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114300</xdr:colOff>
      <xdr:row>39</xdr:row>
      <xdr:rowOff>19050</xdr:rowOff>
    </xdr:from>
    <xdr:ext cx="2228850" cy="457200"/>
    <xdr:sp>
      <xdr:nvSpPr>
        <xdr:cNvPr id="102" name="Shape 102"/>
        <xdr:cNvSpPr txBox="1"/>
      </xdr:nvSpPr>
      <xdr:spPr>
        <a:xfrm>
          <a:off x="4235905" y="3554864"/>
          <a:ext cx="2220191" cy="450273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57150</xdr:colOff>
      <xdr:row>38</xdr:row>
      <xdr:rowOff>76200</xdr:rowOff>
    </xdr:from>
    <xdr:ext cx="609600" cy="352425"/>
    <xdr:sp>
      <xdr:nvSpPr>
        <xdr:cNvPr id="103" name="Shape 103"/>
        <xdr:cNvSpPr txBox="1"/>
      </xdr:nvSpPr>
      <xdr:spPr>
        <a:xfrm>
          <a:off x="5041974" y="3607164"/>
          <a:ext cx="608052" cy="34567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21</xdr:col>
      <xdr:colOff>152400</xdr:colOff>
      <xdr:row>38</xdr:row>
      <xdr:rowOff>133350</xdr:rowOff>
    </xdr:from>
    <xdr:ext cx="161925" cy="114300"/>
    <xdr:sp>
      <xdr:nvSpPr>
        <xdr:cNvPr id="104" name="Shape 104"/>
        <xdr:cNvSpPr/>
      </xdr:nvSpPr>
      <xdr:spPr>
        <a:xfrm rot="-1183437">
          <a:off x="5279325" y="3751425"/>
          <a:ext cx="133350" cy="5715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457200</xdr:colOff>
      <xdr:row>38</xdr:row>
      <xdr:rowOff>0</xdr:rowOff>
    </xdr:from>
    <xdr:ext cx="638175" cy="323850"/>
    <xdr:sp>
      <xdr:nvSpPr>
        <xdr:cNvPr id="75" name="Shape 75"/>
        <xdr:cNvSpPr txBox="1"/>
      </xdr:nvSpPr>
      <xdr:spPr>
        <a:xfrm>
          <a:off x="5029077" y="3621014"/>
          <a:ext cx="633846" cy="3179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161925</xdr:colOff>
      <xdr:row>39</xdr:row>
      <xdr:rowOff>142875</xdr:rowOff>
    </xdr:from>
    <xdr:ext cx="161925" cy="123825"/>
    <xdr:sp>
      <xdr:nvSpPr>
        <xdr:cNvPr id="105" name="Shape 105"/>
        <xdr:cNvSpPr/>
      </xdr:nvSpPr>
      <xdr:spPr>
        <a:xfrm rot="1216398">
          <a:off x="5279325" y="3746663"/>
          <a:ext cx="133350" cy="6667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457200</xdr:colOff>
      <xdr:row>39</xdr:row>
      <xdr:rowOff>95250</xdr:rowOff>
    </xdr:from>
    <xdr:ext cx="600075" cy="352425"/>
    <xdr:sp>
      <xdr:nvSpPr>
        <xdr:cNvPr id="106" name="Shape 106"/>
        <xdr:cNvSpPr txBox="1"/>
      </xdr:nvSpPr>
      <xdr:spPr>
        <a:xfrm>
          <a:off x="5049859" y="3607164"/>
          <a:ext cx="592283" cy="345672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133350</xdr:colOff>
      <xdr:row>41</xdr:row>
      <xdr:rowOff>152400</xdr:rowOff>
    </xdr:from>
    <xdr:ext cx="657225" cy="257175"/>
    <xdr:sp>
      <xdr:nvSpPr>
        <xdr:cNvPr id="107" name="Shape 107"/>
        <xdr:cNvSpPr txBox="1"/>
      </xdr:nvSpPr>
      <xdr:spPr>
        <a:xfrm>
          <a:off x="5022150" y="3651856"/>
          <a:ext cx="647701" cy="256289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428625</xdr:colOff>
      <xdr:row>42</xdr:row>
      <xdr:rowOff>95250</xdr:rowOff>
    </xdr:from>
    <xdr:ext cx="152400" cy="57150"/>
    <xdr:sp>
      <xdr:nvSpPr>
        <xdr:cNvPr id="17" name="Shape 17"/>
        <xdr:cNvSpPr/>
      </xdr:nvSpPr>
      <xdr:spPr>
        <a:xfrm>
          <a:off x="5279325" y="3760950"/>
          <a:ext cx="133350" cy="381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66675</xdr:colOff>
      <xdr:row>42</xdr:row>
      <xdr:rowOff>19050</xdr:rowOff>
    </xdr:from>
    <xdr:ext cx="857250" cy="180975"/>
    <xdr:sp>
      <xdr:nvSpPr>
        <xdr:cNvPr id="108" name="Shape 108"/>
        <xdr:cNvSpPr txBox="1"/>
      </xdr:nvSpPr>
      <xdr:spPr>
        <a:xfrm>
          <a:off x="4921782" y="3693887"/>
          <a:ext cx="848437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rlan/Desktop/Adsor&#231;&#227;o%20Vagem%20-%20Isotermas%20e%20Par&#226;metro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rlan/Downloads/Azul%20de%20Metileno%20em%20palma%20e%20vagem%20-%20Kaori%20Joselm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H TUCUMÃ"/>
      <sheetName val="Massa TUCUMÂ"/>
      <sheetName val="Cinetica TUCUMÃ"/>
      <sheetName val="Cinetica separada TUCUMÃ"/>
      <sheetName val="Conc. e Temp TUCUMÃ"/>
      <sheetName val="Isotermas TUCUMÃ"/>
      <sheetName val="Parâmetros TUCUM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rva de Calibração Palma"/>
      <sheetName val="pH Palma"/>
      <sheetName val="Massa Palma"/>
      <sheetName val="Tempo (Palma)"/>
      <sheetName val="Conc. e temp"/>
      <sheetName val="pH Vagem"/>
      <sheetName val="Massa Vagem"/>
      <sheetName val="Tempo (Vagem)"/>
      <sheetName val="Tempo (Vagem 2)"/>
      <sheetName val="tempo ph 6 e 10"/>
      <sheetName val="y"/>
      <sheetName val="Comparações"/>
      <sheetName val="Planilha1"/>
      <sheetName val="Curva de Calibração Vagem"/>
      <sheetName val="Conc. e temp - Vag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1.0"/>
    <col customWidth="1" min="4" max="26" width="8.71"/>
  </cols>
  <sheetData>
    <row r="3">
      <c r="K3" s="5" t="s">
        <v>28</v>
      </c>
      <c r="N3" s="15"/>
      <c r="O3" s="15" t="s">
        <v>0</v>
      </c>
      <c r="P3" s="15" t="s">
        <v>25</v>
      </c>
      <c r="Q3" s="29" t="s">
        <v>32</v>
      </c>
      <c r="R3" s="29" t="s">
        <v>27</v>
      </c>
    </row>
    <row r="4">
      <c r="N4" s="15" t="s">
        <v>35</v>
      </c>
      <c r="O4" s="23">
        <v>0.194</v>
      </c>
      <c r="P4" s="23">
        <f>0.194*50</f>
        <v>9.7</v>
      </c>
      <c r="Q4" s="23">
        <v>50.0</v>
      </c>
      <c r="R4" s="34">
        <f t="shared" ref="R4:R11" si="1">(P4-0.0244)/0.1678</f>
        <v>57.66150179</v>
      </c>
    </row>
    <row r="5">
      <c r="N5" s="15">
        <v>2.0</v>
      </c>
      <c r="O5" s="23">
        <f>0.398</f>
        <v>0.398</v>
      </c>
      <c r="P5" s="23">
        <f>0.398*50</f>
        <v>19.9</v>
      </c>
      <c r="Q5" s="23">
        <v>100.0</v>
      </c>
      <c r="R5" s="34">
        <f t="shared" si="1"/>
        <v>118.4481526</v>
      </c>
    </row>
    <row r="6">
      <c r="B6" s="35" t="s">
        <v>39</v>
      </c>
      <c r="C6" s="36" t="s">
        <v>40</v>
      </c>
      <c r="N6" s="15">
        <v>20.0</v>
      </c>
      <c r="O6" s="23">
        <v>3.353</v>
      </c>
      <c r="P6" s="23">
        <f>3.353*50</f>
        <v>167.65</v>
      </c>
      <c r="Q6" s="23">
        <v>1000.0</v>
      </c>
      <c r="R6" s="34">
        <f t="shared" si="1"/>
        <v>998.9606675</v>
      </c>
    </row>
    <row r="7">
      <c r="B7" s="37" t="s">
        <v>41</v>
      </c>
      <c r="C7" s="38" t="s">
        <v>42</v>
      </c>
      <c r="N7" s="15" t="s">
        <v>44</v>
      </c>
      <c r="O7" s="23">
        <v>0.788</v>
      </c>
      <c r="P7" s="23">
        <f>0.788*50</f>
        <v>39.4</v>
      </c>
      <c r="Q7" s="23">
        <v>200.0</v>
      </c>
      <c r="R7" s="34">
        <f t="shared" si="1"/>
        <v>234.6579261</v>
      </c>
    </row>
    <row r="8">
      <c r="B8" s="42">
        <v>0.1</v>
      </c>
      <c r="C8" s="42">
        <v>0.011</v>
      </c>
      <c r="N8" s="15" t="s">
        <v>45</v>
      </c>
      <c r="O8" s="23">
        <v>0.648</v>
      </c>
      <c r="P8" s="23">
        <f>0.648*50</f>
        <v>32.4</v>
      </c>
      <c r="Q8" s="23">
        <v>200.0</v>
      </c>
      <c r="R8" s="34">
        <f t="shared" si="1"/>
        <v>192.9415971</v>
      </c>
    </row>
    <row r="9">
      <c r="B9" s="9">
        <v>0.5</v>
      </c>
      <c r="C9" s="9">
        <v>0.086</v>
      </c>
      <c r="N9" s="15" t="s">
        <v>46</v>
      </c>
      <c r="O9" s="23">
        <v>0.38</v>
      </c>
      <c r="P9" s="23">
        <f>0.38*50</f>
        <v>19</v>
      </c>
      <c r="Q9" s="23">
        <v>200.0</v>
      </c>
      <c r="R9" s="34">
        <f t="shared" si="1"/>
        <v>113.0846246</v>
      </c>
    </row>
    <row r="10">
      <c r="B10" s="9">
        <v>1.0</v>
      </c>
      <c r="C10" s="20">
        <v>0.194</v>
      </c>
      <c r="N10" s="15" t="s">
        <v>47</v>
      </c>
      <c r="O10" s="23">
        <v>0.677</v>
      </c>
      <c r="P10" s="23">
        <f t="shared" ref="P10:P11" si="2">O10*50</f>
        <v>33.85</v>
      </c>
      <c r="Q10" s="23">
        <v>200.0</v>
      </c>
      <c r="R10" s="34">
        <f t="shared" si="1"/>
        <v>201.5828367</v>
      </c>
    </row>
    <row r="11">
      <c r="B11" s="9">
        <v>2.0</v>
      </c>
      <c r="C11" s="9">
        <v>0.398</v>
      </c>
      <c r="N11" s="15" t="s">
        <v>48</v>
      </c>
      <c r="O11" s="23">
        <v>0.811</v>
      </c>
      <c r="P11" s="23">
        <f t="shared" si="2"/>
        <v>40.55</v>
      </c>
      <c r="Q11" s="23">
        <v>200.0</v>
      </c>
      <c r="R11" s="34">
        <f t="shared" si="1"/>
        <v>241.511323</v>
      </c>
    </row>
    <row r="12">
      <c r="B12" s="9">
        <v>5.0</v>
      </c>
      <c r="C12" s="9">
        <v>0.848</v>
      </c>
    </row>
    <row r="13">
      <c r="B13" s="9">
        <v>10.0</v>
      </c>
      <c r="C13" s="9">
        <v>1.756</v>
      </c>
    </row>
    <row r="14">
      <c r="B14" s="9">
        <v>20.0</v>
      </c>
      <c r="C14" s="9">
        <v>3.353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3:L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29"/>
    <col customWidth="1" min="3" max="3" width="11.14"/>
    <col customWidth="1" min="4" max="4" width="13.29"/>
    <col customWidth="1" min="5" max="8" width="8.71"/>
    <col customWidth="1" min="9" max="10" width="9.43"/>
    <col customWidth="1" min="11" max="11" width="12.29"/>
    <col customWidth="1" min="12" max="12" width="12.71"/>
    <col customWidth="1" min="13" max="13" width="10.71"/>
    <col customWidth="1" min="14" max="15" width="8.71"/>
    <col customWidth="1" min="16" max="16" width="16.71"/>
    <col customWidth="1" min="17" max="19" width="8.71"/>
    <col customWidth="1" min="20" max="20" width="12.71"/>
    <col customWidth="1" min="21" max="28" width="8.71"/>
  </cols>
  <sheetData>
    <row r="3">
      <c r="O3" s="1" t="s">
        <v>0</v>
      </c>
      <c r="P3" s="1" t="s">
        <v>1</v>
      </c>
    </row>
    <row r="4">
      <c r="A4" s="2" t="s">
        <v>2</v>
      </c>
      <c r="B4" s="3"/>
      <c r="C4" s="3"/>
      <c r="D4" s="4"/>
      <c r="I4" s="5"/>
      <c r="N4" s="1" t="s">
        <v>3</v>
      </c>
      <c r="O4" s="1">
        <v>0.788</v>
      </c>
      <c r="P4" s="6">
        <v>234.66</v>
      </c>
    </row>
    <row r="6">
      <c r="A6" s="7" t="s">
        <v>4</v>
      </c>
      <c r="B6" s="8"/>
      <c r="C6" s="7" t="s">
        <v>5</v>
      </c>
      <c r="D6" s="8"/>
      <c r="E6" s="7" t="s">
        <v>6</v>
      </c>
      <c r="F6" s="8"/>
      <c r="G6" s="7" t="s">
        <v>6</v>
      </c>
      <c r="H6" s="8"/>
      <c r="I6" s="7" t="s">
        <v>1</v>
      </c>
      <c r="J6" s="8"/>
      <c r="K6" s="9" t="s">
        <v>7</v>
      </c>
      <c r="L6" s="9" t="s">
        <v>8</v>
      </c>
      <c r="M6" s="7" t="s">
        <v>9</v>
      </c>
      <c r="N6" s="8"/>
      <c r="O6" s="9" t="s">
        <v>10</v>
      </c>
      <c r="P6" s="9" t="s">
        <v>8</v>
      </c>
      <c r="Q6" s="7" t="s">
        <v>11</v>
      </c>
      <c r="R6" s="8"/>
      <c r="S6" s="9" t="s">
        <v>12</v>
      </c>
      <c r="T6" s="9" t="s">
        <v>8</v>
      </c>
      <c r="U6" s="10"/>
      <c r="V6" s="10"/>
      <c r="W6" s="10"/>
      <c r="X6" s="10"/>
      <c r="Y6" s="10"/>
      <c r="Z6" s="10"/>
      <c r="AA6" s="10"/>
      <c r="AB6" s="10"/>
    </row>
    <row r="7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22</v>
      </c>
      <c r="K7" s="9" t="s">
        <v>23</v>
      </c>
      <c r="L7" s="9"/>
      <c r="M7" s="9"/>
      <c r="N7" s="9"/>
      <c r="O7" s="9"/>
      <c r="P7" s="9"/>
      <c r="Q7" s="9">
        <v>1.0</v>
      </c>
      <c r="R7" s="9">
        <v>2.0</v>
      </c>
      <c r="S7" s="9"/>
      <c r="T7" s="9"/>
      <c r="U7" s="10"/>
      <c r="V7" s="10"/>
      <c r="W7" s="10"/>
      <c r="X7" s="10"/>
      <c r="Y7" s="10"/>
      <c r="Z7" s="10"/>
      <c r="AA7" s="10"/>
      <c r="AB7" s="10"/>
    </row>
    <row r="8">
      <c r="A8" s="9">
        <v>2.0</v>
      </c>
      <c r="B8" s="11">
        <v>2.3</v>
      </c>
      <c r="C8" s="9">
        <v>0.1022</v>
      </c>
      <c r="D8" s="9">
        <v>0.1019</v>
      </c>
      <c r="E8" s="9">
        <v>0.49</v>
      </c>
      <c r="F8" s="9">
        <v>0.523</v>
      </c>
      <c r="G8" s="9">
        <f t="shared" ref="G8:H8" si="1">E8*50</f>
        <v>24.5</v>
      </c>
      <c r="H8" s="9">
        <f t="shared" si="1"/>
        <v>26.15</v>
      </c>
      <c r="I8" s="11">
        <f t="shared" ref="I8:J8" si="2">(G8-0.0244)/0.1678</f>
        <v>145.8617402</v>
      </c>
      <c r="J8" s="11">
        <f t="shared" si="2"/>
        <v>155.6948749</v>
      </c>
      <c r="K8" s="11">
        <f t="shared" ref="K8:K12" si="7">(I8+J8)/2</f>
        <v>150.7783075</v>
      </c>
      <c r="L8" s="11">
        <f t="shared" ref="L8:L12" si="8">STDEV(I8:J8)</f>
        <v>6.953076215</v>
      </c>
      <c r="M8" s="11">
        <f t="shared" ref="M8:N8" si="3">(($P$4-I8)/$P$4)*100</f>
        <v>37.84124258</v>
      </c>
      <c r="N8" s="11">
        <f t="shared" si="3"/>
        <v>33.65086728</v>
      </c>
      <c r="O8" s="14">
        <f t="shared" ref="O8:O12" si="10">(M8+N8)/2</f>
        <v>35.74605493</v>
      </c>
      <c r="P8" s="11">
        <f t="shared" ref="P8:P12" si="11">STDEV(M8:N8)</f>
        <v>2.963042792</v>
      </c>
      <c r="Q8" s="11">
        <f t="shared" ref="Q8:R8" si="4">(($P$4-I8)/C8)*0.0244</f>
        <v>21.20036732</v>
      </c>
      <c r="R8" s="11">
        <f t="shared" si="4"/>
        <v>18.90823409</v>
      </c>
      <c r="S8" s="11">
        <f t="shared" ref="S8:S12" si="13">(Q8+R8)/2</f>
        <v>20.0543007</v>
      </c>
      <c r="T8" s="11">
        <f t="shared" ref="T8:T12" si="14">STDEV(Q8:R8)</f>
        <v>1.62078295</v>
      </c>
    </row>
    <row r="9">
      <c r="A9" s="9">
        <v>4.0</v>
      </c>
      <c r="B9" s="9">
        <v>4.01</v>
      </c>
      <c r="C9" s="9">
        <v>0.1023</v>
      </c>
      <c r="D9" s="9">
        <v>0.1026</v>
      </c>
      <c r="E9" s="9">
        <v>0.317</v>
      </c>
      <c r="F9" s="20">
        <v>0.305</v>
      </c>
      <c r="G9" s="9">
        <f t="shared" ref="G9:H9" si="5">E9*50</f>
        <v>15.85</v>
      </c>
      <c r="H9" s="9">
        <f t="shared" si="5"/>
        <v>15.25</v>
      </c>
      <c r="I9" s="11">
        <f t="shared" ref="I9:J9" si="6">(G9-0.0244)/0.1678</f>
        <v>94.31227652</v>
      </c>
      <c r="J9" s="11">
        <f t="shared" si="6"/>
        <v>90.73659118</v>
      </c>
      <c r="K9" s="11">
        <f t="shared" si="7"/>
        <v>92.52443385</v>
      </c>
      <c r="L9" s="11">
        <f t="shared" si="8"/>
        <v>2.528391351</v>
      </c>
      <c r="M9" s="11">
        <f t="shared" ref="M9:N9" si="9">(($P$4-I9)/$P$4)*100</f>
        <v>59.80896765</v>
      </c>
      <c r="N9" s="11">
        <f t="shared" si="9"/>
        <v>61.33274048</v>
      </c>
      <c r="O9" s="14">
        <f t="shared" si="10"/>
        <v>60.57085407</v>
      </c>
      <c r="P9" s="11">
        <f t="shared" si="11"/>
        <v>1.077470106</v>
      </c>
      <c r="Q9" s="11">
        <f t="shared" ref="Q9:R9" si="12">(($P$4-I9)/C9)*0.0244</f>
        <v>33.47492134</v>
      </c>
      <c r="R9" s="11">
        <f t="shared" si="12"/>
        <v>34.22739937</v>
      </c>
      <c r="S9" s="11">
        <f t="shared" si="13"/>
        <v>33.85116035</v>
      </c>
      <c r="T9" s="11">
        <f t="shared" si="14"/>
        <v>0.5320823178</v>
      </c>
    </row>
    <row r="10">
      <c r="A10" s="9">
        <v>6.0</v>
      </c>
      <c r="B10" s="9">
        <v>6.03</v>
      </c>
      <c r="C10" s="9">
        <v>0.1003</v>
      </c>
      <c r="D10" s="9">
        <v>0.1006</v>
      </c>
      <c r="E10" s="9">
        <v>0.285</v>
      </c>
      <c r="F10" s="9">
        <v>0.277</v>
      </c>
      <c r="G10" s="9">
        <f t="shared" ref="G10:H10" si="15">E10*50</f>
        <v>14.25</v>
      </c>
      <c r="H10" s="9">
        <f t="shared" si="15"/>
        <v>13.85</v>
      </c>
      <c r="I10" s="11">
        <f t="shared" ref="I10:J10" si="16">(G10-0.0244)/0.1678</f>
        <v>84.77711561</v>
      </c>
      <c r="J10" s="11">
        <f t="shared" si="16"/>
        <v>82.39332539</v>
      </c>
      <c r="K10" s="11">
        <f t="shared" si="7"/>
        <v>83.5852205</v>
      </c>
      <c r="L10" s="11">
        <f t="shared" si="8"/>
        <v>1.685594234</v>
      </c>
      <c r="M10" s="11">
        <f t="shared" ref="M10:N10" si="17">(($P$4-I10)/$P$4)*100</f>
        <v>63.87236188</v>
      </c>
      <c r="N10" s="11">
        <f t="shared" si="17"/>
        <v>64.88821044</v>
      </c>
      <c r="O10" s="14">
        <f t="shared" si="10"/>
        <v>64.38028616</v>
      </c>
      <c r="P10" s="11">
        <f t="shared" si="11"/>
        <v>0.7183134041</v>
      </c>
      <c r="Q10" s="11">
        <f t="shared" ref="Q10:R10" si="18">(($P$4-I10)/C10)*0.0244</f>
        <v>36.46203768</v>
      </c>
      <c r="R10" s="11">
        <f t="shared" si="18"/>
        <v>36.93147973</v>
      </c>
      <c r="S10" s="11">
        <f t="shared" si="13"/>
        <v>36.6967587</v>
      </c>
      <c r="T10" s="11">
        <f t="shared" si="14"/>
        <v>0.3319456569</v>
      </c>
    </row>
    <row r="11">
      <c r="A11" s="9">
        <v>8.0</v>
      </c>
      <c r="B11" s="9">
        <v>8.05</v>
      </c>
      <c r="C11" s="9">
        <v>0.1028</v>
      </c>
      <c r="D11" s="9">
        <v>0.1007</v>
      </c>
      <c r="E11" s="20">
        <v>0.125</v>
      </c>
      <c r="F11" s="9">
        <v>0.123</v>
      </c>
      <c r="G11" s="9">
        <f t="shared" ref="G11:H11" si="19">E11*50</f>
        <v>6.25</v>
      </c>
      <c r="H11" s="9">
        <f t="shared" si="19"/>
        <v>6.15</v>
      </c>
      <c r="I11" s="11">
        <f t="shared" ref="I11:J11" si="20">(G11-0.0244)/0.1678</f>
        <v>37.10131108</v>
      </c>
      <c r="J11" s="11">
        <f t="shared" si="20"/>
        <v>36.50536353</v>
      </c>
      <c r="K11" s="11">
        <f t="shared" si="7"/>
        <v>36.80333731</v>
      </c>
      <c r="L11" s="11">
        <f t="shared" si="8"/>
        <v>0.4213985585</v>
      </c>
      <c r="M11" s="11">
        <f t="shared" ref="M11:N11" si="21">(($P$4-I11)/$P$4)*100</f>
        <v>84.18933304</v>
      </c>
      <c r="N11" s="11">
        <f t="shared" si="21"/>
        <v>84.44329518</v>
      </c>
      <c r="O11" s="14">
        <f t="shared" si="10"/>
        <v>84.31631411</v>
      </c>
      <c r="P11" s="11">
        <f t="shared" si="11"/>
        <v>0.179578351</v>
      </c>
      <c r="Q11" s="11">
        <f t="shared" ref="Q11:R11" si="22">(($P$4-I11)/C11)*0.0244</f>
        <v>46.89136196</v>
      </c>
      <c r="R11" s="11">
        <f t="shared" si="22"/>
        <v>48.01363585</v>
      </c>
      <c r="S11" s="11">
        <f t="shared" si="13"/>
        <v>47.4524989</v>
      </c>
      <c r="T11" s="11">
        <f t="shared" si="14"/>
        <v>0.7935674764</v>
      </c>
    </row>
    <row r="12">
      <c r="A12" s="9">
        <v>10.0</v>
      </c>
      <c r="B12" s="33">
        <v>10.01</v>
      </c>
      <c r="C12" s="9">
        <v>0.1008</v>
      </c>
      <c r="D12" s="9">
        <v>0.1015</v>
      </c>
      <c r="E12" s="9">
        <v>0.084</v>
      </c>
      <c r="F12" s="9">
        <v>0.05</v>
      </c>
      <c r="G12" s="9">
        <f t="shared" ref="G12:H12" si="23">E12*50</f>
        <v>4.2</v>
      </c>
      <c r="H12" s="9">
        <f t="shared" si="23"/>
        <v>2.5</v>
      </c>
      <c r="I12" s="11">
        <f t="shared" ref="I12:J12" si="24">(G12-0.0244)/0.1678</f>
        <v>24.88438617</v>
      </c>
      <c r="J12" s="11">
        <f t="shared" si="24"/>
        <v>14.75327771</v>
      </c>
      <c r="K12" s="11">
        <f t="shared" si="7"/>
        <v>19.81883194</v>
      </c>
      <c r="L12" s="11">
        <f t="shared" si="8"/>
        <v>7.163775495</v>
      </c>
      <c r="M12" s="11">
        <f t="shared" ref="M12:N12" si="25">(($P$4-I12)/$P$4)*100</f>
        <v>89.3955569</v>
      </c>
      <c r="N12" s="11">
        <f t="shared" si="25"/>
        <v>93.71291327</v>
      </c>
      <c r="O12" s="14">
        <f t="shared" si="10"/>
        <v>91.55423509</v>
      </c>
      <c r="P12" s="11">
        <f t="shared" si="11"/>
        <v>3.052831967</v>
      </c>
      <c r="Q12" s="11">
        <f t="shared" ref="Q12:R12" si="26">(($P$4-I12)/C12)*0.0244</f>
        <v>50.77901763</v>
      </c>
      <c r="R12" s="11">
        <f t="shared" si="26"/>
        <v>52.8642761</v>
      </c>
      <c r="S12" s="11">
        <f t="shared" si="13"/>
        <v>51.82164686</v>
      </c>
      <c r="T12" s="11">
        <f t="shared" si="14"/>
        <v>1.474500401</v>
      </c>
    </row>
    <row r="20">
      <c r="A20" s="39" t="s">
        <v>43</v>
      </c>
      <c r="B20" s="40"/>
      <c r="C20" s="41"/>
    </row>
    <row r="21" ht="15.75" customHeight="1">
      <c r="A21" s="7" t="s">
        <v>4</v>
      </c>
      <c r="B21" s="8"/>
      <c r="C21" s="7" t="s">
        <v>5</v>
      </c>
      <c r="D21" s="8"/>
      <c r="E21" s="7" t="s">
        <v>6</v>
      </c>
      <c r="F21" s="8"/>
      <c r="G21" s="7" t="s">
        <v>6</v>
      </c>
      <c r="H21" s="8"/>
      <c r="I21" s="7" t="s">
        <v>1</v>
      </c>
      <c r="J21" s="8"/>
      <c r="K21" s="9" t="s">
        <v>7</v>
      </c>
      <c r="L21" s="9" t="s">
        <v>8</v>
      </c>
      <c r="M21" s="7" t="s">
        <v>9</v>
      </c>
      <c r="N21" s="8"/>
      <c r="O21" s="9" t="s">
        <v>10</v>
      </c>
      <c r="P21" s="9" t="s">
        <v>8</v>
      </c>
      <c r="Q21" s="7" t="s">
        <v>11</v>
      </c>
      <c r="R21" s="8"/>
      <c r="S21" s="9" t="s">
        <v>12</v>
      </c>
      <c r="T21" s="9" t="s">
        <v>8</v>
      </c>
    </row>
    <row r="22" ht="15.75" customHeight="1">
      <c r="A22" s="9" t="s">
        <v>13</v>
      </c>
      <c r="B22" s="9" t="s">
        <v>14</v>
      </c>
      <c r="C22" s="9" t="s">
        <v>15</v>
      </c>
      <c r="D22" s="9" t="s">
        <v>16</v>
      </c>
      <c r="E22" s="9" t="s">
        <v>17</v>
      </c>
      <c r="F22" s="9" t="s">
        <v>18</v>
      </c>
      <c r="G22" s="9" t="s">
        <v>19</v>
      </c>
      <c r="H22" s="9" t="s">
        <v>20</v>
      </c>
      <c r="I22" s="9" t="s">
        <v>21</v>
      </c>
      <c r="J22" s="9" t="s">
        <v>22</v>
      </c>
      <c r="K22" s="9" t="s">
        <v>23</v>
      </c>
      <c r="L22" s="9"/>
      <c r="M22" s="9"/>
      <c r="N22" s="9"/>
      <c r="O22" s="9"/>
      <c r="P22" s="9"/>
      <c r="Q22" s="9">
        <v>1.0</v>
      </c>
      <c r="R22" s="9">
        <v>2.0</v>
      </c>
      <c r="S22" s="9"/>
      <c r="T22" s="9"/>
    </row>
    <row r="23" ht="15.75" customHeight="1">
      <c r="A23" s="9">
        <v>2.0</v>
      </c>
      <c r="B23" s="11">
        <v>2.16</v>
      </c>
      <c r="C23" s="9">
        <v>0.1015</v>
      </c>
      <c r="D23" s="9">
        <v>0.1019</v>
      </c>
      <c r="E23" s="9">
        <v>0.655</v>
      </c>
      <c r="F23" s="9">
        <v>0.652</v>
      </c>
      <c r="G23" s="9">
        <f t="shared" ref="G23:H23" si="27">E23*50</f>
        <v>32.75</v>
      </c>
      <c r="H23" s="9">
        <f t="shared" si="27"/>
        <v>32.6</v>
      </c>
      <c r="I23" s="11">
        <f t="shared" ref="I23:J23" si="28">(G23-0.0244)/0.1678</f>
        <v>195.0274136</v>
      </c>
      <c r="J23" s="11">
        <f t="shared" si="28"/>
        <v>194.1334923</v>
      </c>
      <c r="K23" s="11">
        <f t="shared" ref="K23:K27" si="33">(I23+J23)/2</f>
        <v>194.5804529</v>
      </c>
      <c r="L23" s="20">
        <f t="shared" ref="L23:L27" si="34">STDEV(I23:J23)</f>
        <v>0.6320978378</v>
      </c>
      <c r="M23" s="11">
        <f t="shared" ref="M23:N23" si="29">(($P$4-I23)/$P$4)*100</f>
        <v>16.88936607</v>
      </c>
      <c r="N23" s="11">
        <f t="shared" si="29"/>
        <v>17.27030928</v>
      </c>
      <c r="O23" s="14">
        <f t="shared" ref="O23:O27" si="36">(M23+N23)/2</f>
        <v>17.07983767</v>
      </c>
      <c r="P23" s="11">
        <f t="shared" ref="P23:P27" si="37">STDEV(M23:N23)</f>
        <v>0.2693675265</v>
      </c>
      <c r="Q23" s="11">
        <f t="shared" ref="Q23:R23" si="30">(($P$4-I23)/C23)*0.001</f>
        <v>0.3904688316</v>
      </c>
      <c r="R23" s="11">
        <f t="shared" si="30"/>
        <v>0.3977086138</v>
      </c>
      <c r="S23" s="11">
        <f t="shared" ref="S23:S27" si="39">(Q23+R23)/2</f>
        <v>0.3940887227</v>
      </c>
      <c r="T23" s="11">
        <f t="shared" ref="T23:T27" si="40">STDEV(Q23:R23)</f>
        <v>0.005119299061</v>
      </c>
    </row>
    <row r="24" ht="15.75" customHeight="1">
      <c r="A24" s="9">
        <v>4.0</v>
      </c>
      <c r="B24" s="9">
        <v>4.24</v>
      </c>
      <c r="C24" s="9">
        <v>0.1013</v>
      </c>
      <c r="D24" s="43">
        <v>0.1003</v>
      </c>
      <c r="E24" s="9">
        <v>0.36</v>
      </c>
      <c r="F24" s="20">
        <v>0.391</v>
      </c>
      <c r="G24" s="9">
        <f t="shared" ref="G24:H24" si="31">E24*50</f>
        <v>18</v>
      </c>
      <c r="H24" s="9">
        <f t="shared" si="31"/>
        <v>19.55</v>
      </c>
      <c r="I24" s="11">
        <f t="shared" ref="I24:J24" si="32">(G24-0.0244)/0.1678</f>
        <v>107.125149</v>
      </c>
      <c r="J24" s="11">
        <f t="shared" si="32"/>
        <v>116.3623361</v>
      </c>
      <c r="K24" s="11">
        <f t="shared" si="33"/>
        <v>111.7437426</v>
      </c>
      <c r="L24" s="20">
        <f t="shared" si="34"/>
        <v>6.531677657</v>
      </c>
      <c r="M24" s="11">
        <f t="shared" ref="M24:N24" si="35">(($P$4-I24)/$P$4)*100</f>
        <v>54.34878165</v>
      </c>
      <c r="N24" s="11">
        <f t="shared" si="35"/>
        <v>50.41236848</v>
      </c>
      <c r="O24" s="14">
        <f t="shared" si="36"/>
        <v>52.38057507</v>
      </c>
      <c r="P24" s="11">
        <f t="shared" si="37"/>
        <v>2.783464441</v>
      </c>
      <c r="Q24" s="11">
        <f t="shared" ref="Q24:R24" si="38">(($P$4-I24)/C24)*0.001</f>
        <v>1.258981747</v>
      </c>
      <c r="R24" s="11">
        <f t="shared" si="38"/>
        <v>1.179438324</v>
      </c>
      <c r="S24" s="11">
        <f t="shared" si="39"/>
        <v>1.219210036</v>
      </c>
      <c r="T24" s="11">
        <f t="shared" si="40"/>
        <v>0.05624569418</v>
      </c>
    </row>
    <row r="25" ht="15.75" customHeight="1">
      <c r="A25" s="9">
        <v>6.0</v>
      </c>
      <c r="B25" s="9">
        <v>6.03</v>
      </c>
      <c r="C25" s="43">
        <v>0.1007</v>
      </c>
      <c r="D25" s="43">
        <v>0.1014</v>
      </c>
      <c r="E25" s="9">
        <v>0.315</v>
      </c>
      <c r="F25" s="9">
        <v>0.274</v>
      </c>
      <c r="G25" s="9">
        <f t="shared" ref="G25:H25" si="41">E25*50</f>
        <v>15.75</v>
      </c>
      <c r="H25" s="9">
        <f t="shared" si="41"/>
        <v>13.7</v>
      </c>
      <c r="I25" s="11">
        <f t="shared" ref="I25:J25" si="42">(G25-0.0244)/0.1678</f>
        <v>93.71632896</v>
      </c>
      <c r="J25" s="11">
        <f t="shared" si="42"/>
        <v>81.49940405</v>
      </c>
      <c r="K25" s="11">
        <f t="shared" si="33"/>
        <v>87.60786651</v>
      </c>
      <c r="L25" s="20">
        <f t="shared" si="34"/>
        <v>8.63867045</v>
      </c>
      <c r="M25" s="11">
        <f t="shared" ref="M25:N25" si="43">(($P$4-I25)/$P$4)*100</f>
        <v>60.06292979</v>
      </c>
      <c r="N25" s="11">
        <f t="shared" si="43"/>
        <v>65.26915365</v>
      </c>
      <c r="O25" s="14">
        <f t="shared" si="36"/>
        <v>62.66604172</v>
      </c>
      <c r="P25" s="11">
        <f t="shared" si="37"/>
        <v>3.681356196</v>
      </c>
      <c r="Q25" s="11">
        <f t="shared" ref="Q25:R25" si="44">(($P$4-I25)/C25)*0.001</f>
        <v>1.399639236</v>
      </c>
      <c r="R25" s="11">
        <f t="shared" si="44"/>
        <v>1.510459526</v>
      </c>
      <c r="S25" s="11">
        <f t="shared" si="39"/>
        <v>1.455049381</v>
      </c>
      <c r="T25" s="11">
        <f t="shared" si="40"/>
        <v>0.07836177883</v>
      </c>
    </row>
    <row r="26" ht="15.75" customHeight="1">
      <c r="A26" s="9">
        <v>8.0</v>
      </c>
      <c r="B26" s="11">
        <v>8.01</v>
      </c>
      <c r="C26" s="9">
        <v>0.1009</v>
      </c>
      <c r="D26" s="43">
        <v>0.1</v>
      </c>
      <c r="E26" s="20">
        <v>0.148</v>
      </c>
      <c r="F26" s="9">
        <v>0.098</v>
      </c>
      <c r="G26" s="9">
        <f t="shared" ref="G26:H26" si="45">E26*50</f>
        <v>7.4</v>
      </c>
      <c r="H26" s="9">
        <f t="shared" si="45"/>
        <v>4.9</v>
      </c>
      <c r="I26" s="11">
        <f t="shared" ref="I26:J26" si="46">(G26-0.0244)/0.1678</f>
        <v>43.95470799</v>
      </c>
      <c r="J26" s="11">
        <f t="shared" si="46"/>
        <v>29.05601907</v>
      </c>
      <c r="K26" s="11">
        <f t="shared" si="33"/>
        <v>36.50536353</v>
      </c>
      <c r="L26" s="20">
        <f t="shared" si="34"/>
        <v>10.53496396</v>
      </c>
      <c r="M26" s="11">
        <f t="shared" ref="M26:N26" si="47">(($P$4-I26)/$P$4)*100</f>
        <v>81.26876844</v>
      </c>
      <c r="N26" s="11">
        <f t="shared" si="47"/>
        <v>87.61782193</v>
      </c>
      <c r="O26" s="14">
        <f t="shared" si="36"/>
        <v>84.44329518</v>
      </c>
      <c r="P26" s="11">
        <f t="shared" si="37"/>
        <v>4.489458776</v>
      </c>
      <c r="Q26" s="11">
        <f t="shared" ref="Q26:R26" si="48">(($P$4-I26)/C26)*0.001</f>
        <v>1.890042537</v>
      </c>
      <c r="R26" s="11">
        <f t="shared" si="48"/>
        <v>2.056039809</v>
      </c>
      <c r="S26" s="11">
        <f t="shared" si="39"/>
        <v>1.973041173</v>
      </c>
      <c r="T26" s="11">
        <f t="shared" si="40"/>
        <v>0.1173777967</v>
      </c>
    </row>
    <row r="27" ht="15.75" customHeight="1">
      <c r="A27" s="9">
        <v>10.0</v>
      </c>
      <c r="B27" s="33">
        <v>10.15</v>
      </c>
      <c r="C27" s="9">
        <v>0.1008</v>
      </c>
      <c r="D27" s="9">
        <v>0.1016</v>
      </c>
      <c r="E27" s="9">
        <v>0.058</v>
      </c>
      <c r="F27" s="9">
        <v>0.059</v>
      </c>
      <c r="G27" s="9">
        <f t="shared" ref="G27:H27" si="49">E27*50</f>
        <v>2.9</v>
      </c>
      <c r="H27" s="9">
        <f t="shared" si="49"/>
        <v>2.95</v>
      </c>
      <c r="I27" s="11">
        <f t="shared" ref="I27:J27" si="50">(G27-0.0244)/0.1678</f>
        <v>17.13706794</v>
      </c>
      <c r="J27" s="11">
        <f t="shared" si="50"/>
        <v>17.43504172</v>
      </c>
      <c r="K27" s="11">
        <f t="shared" si="33"/>
        <v>17.28605483</v>
      </c>
      <c r="L27" s="20">
        <f t="shared" si="34"/>
        <v>0.2106992793</v>
      </c>
      <c r="M27" s="11">
        <f t="shared" ref="M27:N27" si="51">(($P$4-I27)/$P$4)*100</f>
        <v>92.69706472</v>
      </c>
      <c r="N27" s="11">
        <f t="shared" si="51"/>
        <v>92.57008365</v>
      </c>
      <c r="O27" s="14">
        <f t="shared" si="36"/>
        <v>92.63357418</v>
      </c>
      <c r="P27" s="11">
        <f t="shared" si="37"/>
        <v>0.08978917551</v>
      </c>
      <c r="Q27" s="11">
        <f t="shared" ref="Q27:R27" si="52">(($P$4-I27)/C27)*0.001</f>
        <v>2.157965596</v>
      </c>
      <c r="R27" s="11">
        <f t="shared" si="52"/>
        <v>2.138040928</v>
      </c>
      <c r="S27" s="11">
        <f t="shared" si="39"/>
        <v>2.148003262</v>
      </c>
      <c r="T27" s="11">
        <f t="shared" si="40"/>
        <v>0.01408886776</v>
      </c>
    </row>
    <row r="28" ht="15.75" customHeight="1"/>
    <row r="29" ht="15.75" customHeight="1"/>
    <row r="30" ht="15.75" customHeight="1"/>
    <row r="31" ht="15.75" customHeight="1"/>
    <row r="32" ht="15.75" customHeight="1">
      <c r="A32" s="39" t="s">
        <v>52</v>
      </c>
      <c r="B32" s="40"/>
      <c r="C32" s="40"/>
      <c r="D32" s="41"/>
    </row>
    <row r="33" ht="15.75" customHeight="1">
      <c r="A33" s="7" t="s">
        <v>4</v>
      </c>
      <c r="B33" s="8"/>
      <c r="C33" s="7" t="s">
        <v>5</v>
      </c>
      <c r="D33" s="8"/>
      <c r="E33" s="7" t="s">
        <v>6</v>
      </c>
      <c r="F33" s="8"/>
      <c r="G33" s="7" t="s">
        <v>6</v>
      </c>
      <c r="H33" s="8"/>
      <c r="I33" s="7" t="s">
        <v>1</v>
      </c>
      <c r="J33" s="8"/>
      <c r="K33" s="9" t="s">
        <v>7</v>
      </c>
      <c r="L33" s="9" t="s">
        <v>8</v>
      </c>
      <c r="M33" s="7" t="s">
        <v>9</v>
      </c>
      <c r="N33" s="8"/>
      <c r="O33" s="9" t="s">
        <v>10</v>
      </c>
      <c r="P33" s="9" t="s">
        <v>8</v>
      </c>
      <c r="Q33" s="7" t="s">
        <v>11</v>
      </c>
      <c r="R33" s="8"/>
      <c r="S33" s="9" t="s">
        <v>12</v>
      </c>
      <c r="T33" s="9" t="s">
        <v>8</v>
      </c>
    </row>
    <row r="34" ht="15.75" customHeight="1">
      <c r="A34" s="9" t="s">
        <v>13</v>
      </c>
      <c r="B34" s="9" t="s">
        <v>14</v>
      </c>
      <c r="C34" s="9" t="s">
        <v>15</v>
      </c>
      <c r="D34" s="9" t="s">
        <v>16</v>
      </c>
      <c r="E34" s="9" t="s">
        <v>17</v>
      </c>
      <c r="F34" s="9" t="s">
        <v>18</v>
      </c>
      <c r="G34" s="9" t="s">
        <v>19</v>
      </c>
      <c r="H34" s="9" t="s">
        <v>20</v>
      </c>
      <c r="I34" s="9" t="s">
        <v>21</v>
      </c>
      <c r="J34" s="9" t="s">
        <v>22</v>
      </c>
      <c r="K34" s="9" t="s">
        <v>23</v>
      </c>
      <c r="L34" s="9"/>
      <c r="M34" s="9"/>
      <c r="N34" s="9"/>
      <c r="O34" s="9"/>
      <c r="P34" s="9"/>
      <c r="Q34" s="9">
        <v>1.0</v>
      </c>
      <c r="R34" s="9">
        <v>2.0</v>
      </c>
      <c r="S34" s="9"/>
      <c r="T34" s="9"/>
    </row>
    <row r="35" ht="15.75" customHeight="1">
      <c r="A35" s="9">
        <v>2.0</v>
      </c>
      <c r="B35" s="11">
        <v>2.16</v>
      </c>
      <c r="C35" s="43">
        <v>0.1008</v>
      </c>
      <c r="D35" s="9">
        <v>0.1003</v>
      </c>
      <c r="E35" s="9">
        <v>0.486</v>
      </c>
      <c r="F35" s="9">
        <v>0.453</v>
      </c>
      <c r="G35" s="9">
        <f t="shared" ref="G35:H35" si="53">E35*50</f>
        <v>24.3</v>
      </c>
      <c r="H35" s="9">
        <f t="shared" si="53"/>
        <v>22.65</v>
      </c>
      <c r="I35" s="11">
        <f t="shared" ref="I35:J35" si="54">(G35-0.0244)/0.1678</f>
        <v>144.6698451</v>
      </c>
      <c r="J35" s="11">
        <f t="shared" si="54"/>
        <v>134.8367104</v>
      </c>
      <c r="K35" s="11">
        <f t="shared" ref="K35:K39" si="59">(I35+J35)/2</f>
        <v>139.7532777</v>
      </c>
      <c r="L35" s="20">
        <f t="shared" ref="L35:L39" si="60">STDEV(I35:J35)</f>
        <v>6.953076215</v>
      </c>
      <c r="M35" s="11">
        <f t="shared" ref="M35:N35" si="55">(($P$4-I35)/$P$4)*100</f>
        <v>38.34916686</v>
      </c>
      <c r="N35" s="11">
        <f t="shared" si="55"/>
        <v>42.53954216</v>
      </c>
      <c r="O35" s="14">
        <f t="shared" ref="O35:O39" si="62">(M35+N35)/2</f>
        <v>40.44435451</v>
      </c>
      <c r="P35" s="11">
        <f t="shared" ref="P35:P39" si="63">STDEV(M35:N35)</f>
        <v>2.963042792</v>
      </c>
      <c r="Q35" s="11">
        <f t="shared" ref="Q35:R35" si="56">(($P$4-I35)/C35)*0.001</f>
        <v>0.8927594737</v>
      </c>
      <c r="R35" s="11">
        <f t="shared" si="56"/>
        <v>0.9952471548</v>
      </c>
      <c r="S35" s="11">
        <f t="shared" ref="S35:S39" si="65">(Q35+R35)/2</f>
        <v>0.9440033143</v>
      </c>
      <c r="T35" s="11">
        <f t="shared" ref="T35:T39" si="66">STDEV(Q35:R35)</f>
        <v>0.07246973434</v>
      </c>
    </row>
    <row r="36" ht="15.75" customHeight="1">
      <c r="A36" s="9">
        <v>4.0</v>
      </c>
      <c r="B36" s="9">
        <v>4.24</v>
      </c>
      <c r="C36" s="43">
        <v>0.1007</v>
      </c>
      <c r="D36" s="43">
        <v>0.1021</v>
      </c>
      <c r="E36" s="9">
        <v>0.03</v>
      </c>
      <c r="F36" s="20">
        <v>0.026</v>
      </c>
      <c r="G36" s="9">
        <f t="shared" ref="G36:H36" si="57">E36*50</f>
        <v>1.5</v>
      </c>
      <c r="H36" s="9">
        <f t="shared" si="57"/>
        <v>1.3</v>
      </c>
      <c r="I36" s="11">
        <f t="shared" ref="I36:J36" si="58">(G36-0.0244)/0.1678</f>
        <v>8.793802145</v>
      </c>
      <c r="J36" s="11">
        <f t="shared" si="58"/>
        <v>7.601907032</v>
      </c>
      <c r="K36" s="11">
        <f t="shared" si="59"/>
        <v>8.197854589</v>
      </c>
      <c r="L36" s="20">
        <f t="shared" si="60"/>
        <v>0.842797117</v>
      </c>
      <c r="M36" s="11">
        <f t="shared" ref="M36:N36" si="61">(($P$4-I36)/$P$4)*100</f>
        <v>96.25253467</v>
      </c>
      <c r="N36" s="11">
        <f t="shared" si="61"/>
        <v>96.76045895</v>
      </c>
      <c r="O36" s="14">
        <f t="shared" si="62"/>
        <v>96.50649681</v>
      </c>
      <c r="P36" s="11">
        <f t="shared" si="63"/>
        <v>0.359156702</v>
      </c>
      <c r="Q36" s="11">
        <f t="shared" ref="Q36:R36" si="64">(($P$4-I36)/C36)*0.001</f>
        <v>2.24296125</v>
      </c>
      <c r="R36" s="11">
        <f t="shared" si="64"/>
        <v>2.223879461</v>
      </c>
      <c r="S36" s="11">
        <f t="shared" si="65"/>
        <v>2.233420355</v>
      </c>
      <c r="T36" s="11">
        <f t="shared" si="66"/>
        <v>0.01349286226</v>
      </c>
    </row>
    <row r="37" ht="15.75" customHeight="1">
      <c r="A37" s="9">
        <v>6.0</v>
      </c>
      <c r="B37" s="33">
        <v>6.03</v>
      </c>
      <c r="C37" s="43">
        <v>0.1015</v>
      </c>
      <c r="D37" s="43">
        <v>0.1017</v>
      </c>
      <c r="E37" s="9">
        <v>0.022</v>
      </c>
      <c r="F37" s="9">
        <v>0.016</v>
      </c>
      <c r="G37" s="9">
        <f t="shared" ref="G37:H37" si="67">E37*50</f>
        <v>1.1</v>
      </c>
      <c r="H37" s="9">
        <f t="shared" si="67"/>
        <v>0.8</v>
      </c>
      <c r="I37" s="11">
        <f t="shared" ref="I37:J37" si="68">(G37-0.0244)/0.1678</f>
        <v>6.410011919</v>
      </c>
      <c r="J37" s="11">
        <f t="shared" si="68"/>
        <v>4.622169249</v>
      </c>
      <c r="K37" s="11">
        <f t="shared" si="59"/>
        <v>5.516090584</v>
      </c>
      <c r="L37" s="20">
        <f t="shared" si="60"/>
        <v>1.264195676</v>
      </c>
      <c r="M37" s="11">
        <f t="shared" ref="M37:N37" si="69">(($P$4-I37)/$P$4)*100</f>
        <v>97.26838323</v>
      </c>
      <c r="N37" s="11">
        <f t="shared" si="69"/>
        <v>98.03026965</v>
      </c>
      <c r="O37" s="14">
        <f t="shared" si="62"/>
        <v>97.64932644</v>
      </c>
      <c r="P37" s="11">
        <f t="shared" si="63"/>
        <v>0.5387350531</v>
      </c>
      <c r="Q37" s="11">
        <f t="shared" ref="Q37:R37" si="70">(($P$4-I37)/C37)*0.001</f>
        <v>2.248768355</v>
      </c>
      <c r="R37" s="11">
        <f t="shared" si="70"/>
        <v>2.261925573</v>
      </c>
      <c r="S37" s="11">
        <f t="shared" si="65"/>
        <v>2.255346964</v>
      </c>
      <c r="T37" s="11">
        <f t="shared" si="66"/>
        <v>0.00930355757</v>
      </c>
    </row>
    <row r="38" ht="15.75" customHeight="1">
      <c r="A38" s="9">
        <v>8.0</v>
      </c>
      <c r="B38" s="11">
        <v>8.01</v>
      </c>
      <c r="C38" s="9">
        <v>0.101</v>
      </c>
      <c r="D38" s="9">
        <v>0.1006</v>
      </c>
      <c r="E38" s="20">
        <v>0.014</v>
      </c>
      <c r="F38" s="9">
        <v>0.013</v>
      </c>
      <c r="G38" s="9">
        <f t="shared" ref="G38:H38" si="71">E38*50</f>
        <v>0.7</v>
      </c>
      <c r="H38" s="9">
        <f t="shared" si="71"/>
        <v>0.65</v>
      </c>
      <c r="I38" s="11">
        <f t="shared" ref="I38:J38" si="72">(G38-0.0244)/0.1678</f>
        <v>4.026221692</v>
      </c>
      <c r="J38" s="11">
        <f t="shared" si="72"/>
        <v>3.728247914</v>
      </c>
      <c r="K38" s="11">
        <f t="shared" si="59"/>
        <v>3.877234803</v>
      </c>
      <c r="L38" s="20">
        <f t="shared" si="60"/>
        <v>0.2106992793</v>
      </c>
      <c r="M38" s="11">
        <f t="shared" ref="M38:N38" si="73">(($P$4-I38)/$P$4)*100</f>
        <v>98.28423179</v>
      </c>
      <c r="N38" s="11">
        <f t="shared" si="73"/>
        <v>98.41121286</v>
      </c>
      <c r="O38" s="14">
        <f t="shared" si="62"/>
        <v>98.34772232</v>
      </c>
      <c r="P38" s="11">
        <f t="shared" si="63"/>
        <v>0.08978917551</v>
      </c>
      <c r="Q38" s="11">
        <f t="shared" ref="Q38:R38" si="74">(($P$4-I38)/C38)*0.001</f>
        <v>2.283502756</v>
      </c>
      <c r="R38" s="11">
        <f t="shared" si="74"/>
        <v>2.295544255</v>
      </c>
      <c r="S38" s="11">
        <f t="shared" si="65"/>
        <v>2.289523505</v>
      </c>
      <c r="T38" s="11">
        <f t="shared" si="66"/>
        <v>0.008514626169</v>
      </c>
    </row>
    <row r="39" ht="15.75" customHeight="1">
      <c r="A39" s="9">
        <v>10.0</v>
      </c>
      <c r="B39" s="9">
        <v>10.15</v>
      </c>
      <c r="C39" s="9">
        <v>0.1007</v>
      </c>
      <c r="D39" s="9">
        <v>0.1002</v>
      </c>
      <c r="E39" s="20">
        <v>0.012</v>
      </c>
      <c r="F39" s="9">
        <v>0.014</v>
      </c>
      <c r="G39" s="9">
        <f t="shared" ref="G39:H39" si="75">E39*50</f>
        <v>0.6</v>
      </c>
      <c r="H39" s="9">
        <f t="shared" si="75"/>
        <v>0.7</v>
      </c>
      <c r="I39" s="11">
        <f t="shared" ref="I39:J39" si="76">(G39-0.0244)/0.1678</f>
        <v>3.430274136</v>
      </c>
      <c r="J39" s="11">
        <f t="shared" si="76"/>
        <v>4.026221692</v>
      </c>
      <c r="K39" s="11">
        <f t="shared" si="59"/>
        <v>3.728247914</v>
      </c>
      <c r="L39" s="20">
        <f t="shared" si="60"/>
        <v>0.4213985585</v>
      </c>
      <c r="M39" s="11">
        <f t="shared" ref="M39:N39" si="77">(($P$4-I39)/$P$4)*100</f>
        <v>98.53819392</v>
      </c>
      <c r="N39" s="11">
        <f t="shared" si="77"/>
        <v>98.28423179</v>
      </c>
      <c r="O39" s="14">
        <f t="shared" si="62"/>
        <v>98.41121286</v>
      </c>
      <c r="P39" s="11">
        <f t="shared" si="63"/>
        <v>0.179578351</v>
      </c>
      <c r="Q39" s="11">
        <f t="shared" ref="Q39:R39" si="78">(($P$4-I39)/C39)*0.001</f>
        <v>2.296223693</v>
      </c>
      <c r="R39" s="11">
        <f t="shared" si="78"/>
        <v>2.301734314</v>
      </c>
      <c r="S39" s="11">
        <f t="shared" si="65"/>
        <v>2.298979004</v>
      </c>
      <c r="T39" s="11">
        <f t="shared" si="66"/>
        <v>0.00389659794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M6:N6"/>
    <mergeCell ref="Q6:R6"/>
    <mergeCell ref="A4:D4"/>
    <mergeCell ref="I4:J4"/>
    <mergeCell ref="A6:B6"/>
    <mergeCell ref="C6:D6"/>
    <mergeCell ref="E6:F6"/>
    <mergeCell ref="G6:H6"/>
    <mergeCell ref="I6:J6"/>
    <mergeCell ref="A20:C20"/>
    <mergeCell ref="A21:B21"/>
    <mergeCell ref="E21:F21"/>
    <mergeCell ref="G21:H21"/>
    <mergeCell ref="I21:J21"/>
    <mergeCell ref="M21:N21"/>
    <mergeCell ref="Q21:R21"/>
    <mergeCell ref="M33:N33"/>
    <mergeCell ref="Q33:R33"/>
    <mergeCell ref="C21:D21"/>
    <mergeCell ref="A32:D32"/>
    <mergeCell ref="A33:B33"/>
    <mergeCell ref="C33:D33"/>
    <mergeCell ref="E33:F33"/>
    <mergeCell ref="G33:H33"/>
    <mergeCell ref="I33:J3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7.71"/>
    <col customWidth="1" min="5" max="5" width="12.71"/>
    <col customWidth="1" min="6" max="11" width="8.71"/>
    <col customWidth="1" min="12" max="12" width="12.29"/>
    <col customWidth="1" min="13" max="13" width="12.71"/>
    <col customWidth="1" min="14" max="14" width="8.71"/>
    <col customWidth="1" min="15" max="15" width="10.43"/>
    <col customWidth="1" min="16" max="16" width="10.86"/>
    <col customWidth="1" min="17" max="17" width="13.29"/>
    <col customWidth="1" min="18" max="20" width="8.71"/>
    <col customWidth="1" min="21" max="21" width="12.71"/>
    <col customWidth="1" min="22" max="30" width="8.71"/>
  </cols>
  <sheetData>
    <row r="4">
      <c r="N4" s="45" t="s">
        <v>0</v>
      </c>
      <c r="O4" s="45" t="s">
        <v>25</v>
      </c>
      <c r="P4" s="45" t="s">
        <v>32</v>
      </c>
      <c r="Q4" s="45" t="s">
        <v>27</v>
      </c>
    </row>
    <row r="5">
      <c r="M5" s="23" t="s">
        <v>49</v>
      </c>
      <c r="N5" s="23">
        <v>0.701</v>
      </c>
      <c r="O5" s="23">
        <f t="shared" ref="O5:O7" si="1">N5*50</f>
        <v>35.05</v>
      </c>
      <c r="P5" s="23">
        <v>200.0</v>
      </c>
      <c r="Q5" s="34">
        <f t="shared" ref="Q5:Q7" si="2">(O5-0.0244)/0.1678</f>
        <v>208.7342074</v>
      </c>
      <c r="T5" s="22" t="s">
        <v>28</v>
      </c>
      <c r="U5" s="8"/>
    </row>
    <row r="6">
      <c r="M6" s="23" t="s">
        <v>50</v>
      </c>
      <c r="N6" s="23">
        <v>0.75</v>
      </c>
      <c r="O6" s="23">
        <f t="shared" si="1"/>
        <v>37.5</v>
      </c>
      <c r="P6" s="23">
        <v>200.0</v>
      </c>
      <c r="Q6" s="34">
        <f t="shared" si="2"/>
        <v>223.3349225</v>
      </c>
      <c r="S6" s="5"/>
    </row>
    <row r="7">
      <c r="M7" s="23" t="s">
        <v>51</v>
      </c>
      <c r="N7" s="23">
        <v>0.788</v>
      </c>
      <c r="O7" s="23">
        <f t="shared" si="1"/>
        <v>39.4</v>
      </c>
      <c r="P7" s="23">
        <v>200.0</v>
      </c>
      <c r="Q7" s="34">
        <f t="shared" si="2"/>
        <v>234.6579261</v>
      </c>
      <c r="R7" s="5"/>
      <c r="S7" s="6"/>
    </row>
    <row r="8">
      <c r="N8" s="5"/>
      <c r="O8" s="5"/>
      <c r="R8" s="5"/>
      <c r="S8" s="6"/>
    </row>
    <row r="9">
      <c r="D9" s="46" t="s">
        <v>53</v>
      </c>
      <c r="E9" s="27"/>
      <c r="F9" s="27"/>
      <c r="G9" s="8"/>
      <c r="I9" s="47" t="s">
        <v>54</v>
      </c>
      <c r="P9" s="23" t="s">
        <v>55</v>
      </c>
      <c r="Q9" s="23">
        <f>20/1000</f>
        <v>0.02</v>
      </c>
    </row>
    <row r="11">
      <c r="B11" s="48" t="s">
        <v>56</v>
      </c>
      <c r="C11" s="8"/>
      <c r="D11" s="49" t="s">
        <v>5</v>
      </c>
      <c r="E11" s="8"/>
      <c r="F11" s="49" t="s">
        <v>6</v>
      </c>
      <c r="G11" s="8"/>
      <c r="H11" s="49" t="s">
        <v>36</v>
      </c>
      <c r="I11" s="8"/>
      <c r="J11" s="49" t="s">
        <v>37</v>
      </c>
      <c r="K11" s="8"/>
      <c r="L11" s="50" t="s">
        <v>7</v>
      </c>
      <c r="M11" s="50" t="s">
        <v>57</v>
      </c>
      <c r="N11" s="49" t="s">
        <v>9</v>
      </c>
      <c r="O11" s="8"/>
      <c r="P11" s="51" t="s">
        <v>10</v>
      </c>
      <c r="Q11" s="52" t="s">
        <v>8</v>
      </c>
      <c r="R11" s="49" t="s">
        <v>11</v>
      </c>
      <c r="S11" s="8"/>
      <c r="T11" s="50" t="s">
        <v>12</v>
      </c>
      <c r="U11" s="50" t="s">
        <v>57</v>
      </c>
    </row>
    <row r="12">
      <c r="B12" s="22"/>
      <c r="C12" s="8"/>
      <c r="D12" s="9" t="s">
        <v>15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  <c r="L12" s="9"/>
      <c r="M12" s="9"/>
      <c r="N12" s="9"/>
      <c r="O12" s="9"/>
      <c r="P12" s="31"/>
      <c r="Q12" s="54"/>
      <c r="R12" s="9">
        <v>1.0</v>
      </c>
      <c r="S12" s="9">
        <v>2.0</v>
      </c>
      <c r="T12" s="9"/>
      <c r="U12" s="9"/>
    </row>
    <row r="13">
      <c r="B13" s="22">
        <v>50.0</v>
      </c>
      <c r="C13" s="8"/>
      <c r="D13" s="43">
        <v>0.05</v>
      </c>
      <c r="E13" s="43">
        <v>0.0502</v>
      </c>
      <c r="F13" s="20">
        <v>0.047</v>
      </c>
      <c r="G13" s="20">
        <v>0.034</v>
      </c>
      <c r="H13" s="20">
        <f t="shared" ref="H13:I13" si="3">F13*50</f>
        <v>2.35</v>
      </c>
      <c r="I13" s="20">
        <f t="shared" si="3"/>
        <v>1.7</v>
      </c>
      <c r="J13" s="20">
        <f t="shared" ref="J13:K13" si="4">(H13-0.0244)/0.1678</f>
        <v>13.85935638</v>
      </c>
      <c r="K13" s="20">
        <f t="shared" si="4"/>
        <v>9.985697259</v>
      </c>
      <c r="L13" s="20">
        <f t="shared" ref="L13:L19" si="10">(J13+K13)/2</f>
        <v>11.92252682</v>
      </c>
      <c r="M13" s="20">
        <f t="shared" ref="M13:M19" si="11">STDEV(J13:K13)</f>
        <v>2.73909063</v>
      </c>
      <c r="N13" s="20">
        <f t="shared" ref="N13:O13" si="5">(($Q$5-J13)/$Q$5)*100</f>
        <v>93.36028505</v>
      </c>
      <c r="O13" s="20">
        <f t="shared" si="5"/>
        <v>95.21607053</v>
      </c>
      <c r="P13" s="14">
        <f>(N13+O13)/2</f>
        <v>94.28817779</v>
      </c>
      <c r="Q13" s="56">
        <f t="shared" ref="Q13:Q19" si="13">STDEV(N13:O13)</f>
        <v>1.312238499</v>
      </c>
      <c r="R13" s="20">
        <f t="shared" ref="R13:S13" si="6">(($Q$5-J13)/D13)*$Q$9</f>
        <v>77.94994041</v>
      </c>
      <c r="S13" s="20">
        <f t="shared" si="6"/>
        <v>79.18267336</v>
      </c>
      <c r="T13" s="20">
        <f t="shared" ref="T13:U13" si="7">(R13+S13)/2</f>
        <v>78.56630688</v>
      </c>
      <c r="U13" s="20">
        <f t="shared" si="7"/>
        <v>78.87449012</v>
      </c>
    </row>
    <row r="14">
      <c r="B14" s="22">
        <v>75.0</v>
      </c>
      <c r="C14" s="8"/>
      <c r="D14" s="43">
        <v>0.0758</v>
      </c>
      <c r="E14" s="43">
        <v>0.0752</v>
      </c>
      <c r="F14" s="20">
        <v>0.109</v>
      </c>
      <c r="G14" s="20">
        <v>0.074</v>
      </c>
      <c r="H14" s="20">
        <f t="shared" ref="H14:I14" si="8">F14*50</f>
        <v>5.45</v>
      </c>
      <c r="I14" s="20">
        <f t="shared" si="8"/>
        <v>3.7</v>
      </c>
      <c r="J14" s="20">
        <f t="shared" ref="J14:K14" si="9">(H14-0.0244)/0.1678</f>
        <v>32.33373063</v>
      </c>
      <c r="K14" s="20">
        <f t="shared" si="9"/>
        <v>21.90464839</v>
      </c>
      <c r="L14" s="20">
        <f t="shared" si="10"/>
        <v>27.11918951</v>
      </c>
      <c r="M14" s="20">
        <f t="shared" si="11"/>
        <v>7.374474774</v>
      </c>
      <c r="N14" s="20">
        <f t="shared" ref="N14:O14" si="12">(($Q$5-J14)/$Q$5)*100</f>
        <v>84.50961582</v>
      </c>
      <c r="O14" s="20">
        <f t="shared" si="12"/>
        <v>89.50596135</v>
      </c>
      <c r="P14" s="14"/>
      <c r="Q14" s="56">
        <f t="shared" si="13"/>
        <v>3.532949806</v>
      </c>
      <c r="R14" s="20">
        <f t="shared" ref="R14:S14" si="14">(($Q$5-J14)/D14)*$Q$9</f>
        <v>46.54366141</v>
      </c>
      <c r="S14" s="20">
        <f t="shared" si="14"/>
        <v>49.6887125</v>
      </c>
      <c r="T14" s="20">
        <f t="shared" ref="T14:U14" si="15">(R14+S14)/2</f>
        <v>48.11618696</v>
      </c>
      <c r="U14" s="20">
        <f t="shared" si="15"/>
        <v>48.90244973</v>
      </c>
    </row>
    <row r="15">
      <c r="B15" s="22">
        <v>100.0</v>
      </c>
      <c r="C15" s="8"/>
      <c r="D15" s="43">
        <v>0.1009</v>
      </c>
      <c r="E15" s="43">
        <v>0.1014</v>
      </c>
      <c r="F15" s="20">
        <v>0.525</v>
      </c>
      <c r="G15" s="20">
        <v>0.452</v>
      </c>
      <c r="H15" s="20">
        <f t="shared" ref="H15:I15" si="16">F15*1</f>
        <v>0.525</v>
      </c>
      <c r="I15" s="20">
        <f t="shared" si="16"/>
        <v>0.452</v>
      </c>
      <c r="J15" s="20">
        <f t="shared" ref="J15:K15" si="17">(H15-0.0244)/0.1678</f>
        <v>2.983313468</v>
      </c>
      <c r="K15" s="20">
        <f t="shared" si="17"/>
        <v>2.548271752</v>
      </c>
      <c r="L15" s="20">
        <f t="shared" si="10"/>
        <v>2.76579261</v>
      </c>
      <c r="M15" s="20">
        <f t="shared" si="11"/>
        <v>0.3076209477</v>
      </c>
      <c r="N15" s="20">
        <f t="shared" ref="N15:O15" si="18">(($Q$5-J15)/$Q$5)*100</f>
        <v>98.57075967</v>
      </c>
      <c r="O15" s="20">
        <f t="shared" si="18"/>
        <v>98.77917866</v>
      </c>
      <c r="P15" s="14">
        <f>(N15+O15)/2</f>
        <v>98.67496917</v>
      </c>
      <c r="Q15" s="56">
        <f t="shared" si="13"/>
        <v>0.1473744776</v>
      </c>
      <c r="R15" s="20">
        <f t="shared" ref="R15:S15" si="19">(($Q$5-J15)/D15)*$Q$9</f>
        <v>40.78313061</v>
      </c>
      <c r="S15" s="20">
        <f t="shared" si="19"/>
        <v>40.6678374</v>
      </c>
      <c r="T15" s="20">
        <f t="shared" ref="T15:U15" si="20">(R15+S15)/2</f>
        <v>40.72548401</v>
      </c>
      <c r="U15" s="20">
        <f t="shared" si="20"/>
        <v>40.69666071</v>
      </c>
    </row>
    <row r="16">
      <c r="B16" s="22">
        <v>125.0</v>
      </c>
      <c r="C16" s="8"/>
      <c r="D16" s="43">
        <v>0.1259</v>
      </c>
      <c r="E16" s="43">
        <v>0.1256</v>
      </c>
      <c r="F16" s="20">
        <v>0.023</v>
      </c>
      <c r="G16" s="20">
        <v>0.027</v>
      </c>
      <c r="H16" s="20">
        <f t="shared" ref="H16:I16" si="21">F16*50</f>
        <v>1.15</v>
      </c>
      <c r="I16" s="20">
        <f t="shared" si="21"/>
        <v>1.35</v>
      </c>
      <c r="J16" s="20">
        <f t="shared" ref="J16:K16" si="22">(H16-0.0244)/0.1678</f>
        <v>6.707985697</v>
      </c>
      <c r="K16" s="20">
        <f t="shared" si="22"/>
        <v>7.89988081</v>
      </c>
      <c r="L16" s="20">
        <f t="shared" si="10"/>
        <v>7.303933254</v>
      </c>
      <c r="M16" s="20">
        <f t="shared" si="11"/>
        <v>0.842797117</v>
      </c>
      <c r="N16" s="20">
        <f t="shared" ref="N16:O16" si="23">(($Q$5-J16)/$Q$5)*100</f>
        <v>96.78635056</v>
      </c>
      <c r="O16" s="20">
        <f t="shared" si="23"/>
        <v>96.21533964</v>
      </c>
      <c r="P16" s="14"/>
      <c r="Q16" s="56">
        <f t="shared" si="13"/>
        <v>0.4037656921</v>
      </c>
      <c r="R16" s="20">
        <f t="shared" ref="R16:S16" si="24">(($Q$5-J16)/D16)*$Q$9</f>
        <v>32.09312497</v>
      </c>
      <c r="S16" s="20">
        <f t="shared" si="24"/>
        <v>31.97998831</v>
      </c>
      <c r="T16" s="20">
        <f t="shared" ref="T16:U16" si="25">(R16+S16)/2</f>
        <v>32.03655664</v>
      </c>
      <c r="U16" s="20">
        <f t="shared" si="25"/>
        <v>32.00827247</v>
      </c>
    </row>
    <row r="17">
      <c r="B17" s="22">
        <v>150.0</v>
      </c>
      <c r="C17" s="8"/>
      <c r="D17" s="43">
        <v>0.1519</v>
      </c>
      <c r="E17" s="43">
        <v>0.151</v>
      </c>
      <c r="F17" s="20">
        <v>0.297</v>
      </c>
      <c r="G17" s="20">
        <v>0.377</v>
      </c>
      <c r="H17" s="20">
        <f t="shared" ref="H17:I17" si="26">F17*1</f>
        <v>0.297</v>
      </c>
      <c r="I17" s="20">
        <f t="shared" si="26"/>
        <v>0.377</v>
      </c>
      <c r="J17" s="20">
        <f t="shared" ref="J17:K17" si="27">(H17-0.0244)/0.1678</f>
        <v>1.624553039</v>
      </c>
      <c r="K17" s="20">
        <f t="shared" si="27"/>
        <v>2.101311085</v>
      </c>
      <c r="L17" s="20">
        <f t="shared" si="10"/>
        <v>1.862932062</v>
      </c>
      <c r="M17" s="20">
        <f t="shared" si="11"/>
        <v>0.3371188468</v>
      </c>
      <c r="N17" s="20">
        <f t="shared" ref="N17:O17" si="28">(($Q$5-J17)/$Q$5)*100</f>
        <v>99.22171212</v>
      </c>
      <c r="O17" s="20">
        <f t="shared" si="28"/>
        <v>98.99330775</v>
      </c>
      <c r="P17" s="14">
        <f>(N17+O17)/2</f>
        <v>99.10750994</v>
      </c>
      <c r="Q17" s="56">
        <f t="shared" si="13"/>
        <v>0.1615062768</v>
      </c>
      <c r="R17" s="20">
        <f t="shared" ref="R17:S17" si="29">(($Q$5-J17)/D17)*$Q$9</f>
        <v>27.26921058</v>
      </c>
      <c r="S17" s="20">
        <f t="shared" si="29"/>
        <v>27.36859554</v>
      </c>
      <c r="T17" s="20">
        <f t="shared" ref="T17:U17" si="30">(R17+S17)/2</f>
        <v>27.31890306</v>
      </c>
      <c r="U17" s="20">
        <f t="shared" si="30"/>
        <v>27.3437493</v>
      </c>
    </row>
    <row r="18">
      <c r="B18" s="22">
        <v>175.0</v>
      </c>
      <c r="C18" s="8"/>
      <c r="D18" s="43">
        <v>0.175</v>
      </c>
      <c r="E18" s="43">
        <v>0.1757</v>
      </c>
      <c r="F18" s="20">
        <v>0.023</v>
      </c>
      <c r="G18" s="20">
        <v>0.023</v>
      </c>
      <c r="H18" s="20">
        <f t="shared" ref="H18:I18" si="31">F18*50</f>
        <v>1.15</v>
      </c>
      <c r="I18" s="20">
        <f t="shared" si="31"/>
        <v>1.15</v>
      </c>
      <c r="J18" s="20">
        <f t="shared" ref="J18:K18" si="32">(H18-0.0244)/0.1678</f>
        <v>6.707985697</v>
      </c>
      <c r="K18" s="20">
        <f t="shared" si="32"/>
        <v>6.707985697</v>
      </c>
      <c r="L18" s="20">
        <f t="shared" si="10"/>
        <v>6.707985697</v>
      </c>
      <c r="M18" s="20">
        <f t="shared" si="11"/>
        <v>0</v>
      </c>
      <c r="N18" s="20">
        <f t="shared" ref="N18:O18" si="33">(($Q$5-J18)/$Q$5)*100</f>
        <v>96.78635056</v>
      </c>
      <c r="O18" s="20">
        <f t="shared" si="33"/>
        <v>96.78635056</v>
      </c>
      <c r="P18" s="14"/>
      <c r="Q18" s="56">
        <f t="shared" si="13"/>
        <v>0</v>
      </c>
      <c r="R18" s="20">
        <f t="shared" ref="R18:S18" si="34">(($Q$5-J18)/D18)*$Q$9</f>
        <v>23.08871105</v>
      </c>
      <c r="S18" s="20">
        <f t="shared" si="34"/>
        <v>22.99672415</v>
      </c>
      <c r="T18" s="20">
        <f t="shared" ref="T18:U18" si="35">(R18+S18)/2</f>
        <v>23.0427176</v>
      </c>
      <c r="U18" s="20">
        <f t="shared" si="35"/>
        <v>23.01972088</v>
      </c>
    </row>
    <row r="19">
      <c r="B19" s="22">
        <v>200.0</v>
      </c>
      <c r="C19" s="8"/>
      <c r="D19" s="43">
        <v>0.2002</v>
      </c>
      <c r="E19" s="43">
        <v>0.2013</v>
      </c>
      <c r="F19" s="20">
        <v>0.338</v>
      </c>
      <c r="G19" s="20">
        <v>0.38</v>
      </c>
      <c r="H19" s="20">
        <f t="shared" ref="H19:I19" si="36">F19*1</f>
        <v>0.338</v>
      </c>
      <c r="I19" s="20">
        <f t="shared" si="36"/>
        <v>0.38</v>
      </c>
      <c r="J19" s="20">
        <f t="shared" ref="J19:K19" si="37">(H19-0.0244)/0.1678</f>
        <v>1.868891538</v>
      </c>
      <c r="K19" s="20">
        <f t="shared" si="37"/>
        <v>2.119189511</v>
      </c>
      <c r="L19" s="20">
        <f t="shared" si="10"/>
        <v>1.994040524</v>
      </c>
      <c r="M19" s="20">
        <f t="shared" si="11"/>
        <v>0.1769873946</v>
      </c>
      <c r="N19" s="20">
        <f t="shared" ref="N19:O19" si="38">(($Q$5-J19)/$Q$5)*100</f>
        <v>99.10465488</v>
      </c>
      <c r="O19" s="20">
        <f t="shared" si="38"/>
        <v>98.98474259</v>
      </c>
      <c r="P19" s="14">
        <f>(N19+O19)/2</f>
        <v>99.04469873</v>
      </c>
      <c r="Q19" s="56">
        <f t="shared" si="13"/>
        <v>0.08479079533</v>
      </c>
      <c r="R19" s="20">
        <f t="shared" ref="R19:S19" si="39">(($Q$5-J19)/D19)*$Q$9</f>
        <v>20.66586572</v>
      </c>
      <c r="S19" s="20">
        <f t="shared" si="39"/>
        <v>20.52806934</v>
      </c>
      <c r="T19" s="20">
        <f t="shared" ref="T19:U19" si="40">(R19+S19)/2</f>
        <v>20.59696753</v>
      </c>
      <c r="U19" s="20">
        <f t="shared" si="40"/>
        <v>20.56251843</v>
      </c>
    </row>
    <row r="21" ht="15.75" customHeight="1"/>
    <row r="22" ht="15.75" customHeight="1"/>
    <row r="23" ht="15.75" customHeight="1">
      <c r="D23" s="5"/>
    </row>
    <row r="24" ht="15.75" customHeight="1">
      <c r="D24" s="46" t="s">
        <v>61</v>
      </c>
      <c r="E24" s="27"/>
      <c r="F24" s="27"/>
      <c r="G24" s="8"/>
      <c r="I24" s="47" t="s">
        <v>62</v>
      </c>
    </row>
    <row r="25" ht="15.75" customHeight="1"/>
    <row r="26" ht="15.75" customHeight="1">
      <c r="B26" s="48" t="s">
        <v>56</v>
      </c>
      <c r="C26" s="8"/>
      <c r="D26" s="49" t="s">
        <v>5</v>
      </c>
      <c r="E26" s="8"/>
      <c r="F26" s="49" t="s">
        <v>6</v>
      </c>
      <c r="G26" s="8"/>
      <c r="H26" s="49" t="s">
        <v>36</v>
      </c>
      <c r="I26" s="8"/>
      <c r="J26" s="49" t="s">
        <v>1</v>
      </c>
      <c r="K26" s="8"/>
      <c r="L26" s="50" t="s">
        <v>7</v>
      </c>
      <c r="M26" s="50" t="s">
        <v>57</v>
      </c>
      <c r="N26" s="49" t="s">
        <v>9</v>
      </c>
      <c r="O26" s="8"/>
      <c r="P26" s="51" t="s">
        <v>10</v>
      </c>
      <c r="Q26" s="52" t="s">
        <v>8</v>
      </c>
      <c r="R26" s="49" t="s">
        <v>11</v>
      </c>
      <c r="S26" s="8"/>
      <c r="T26" s="50" t="s">
        <v>12</v>
      </c>
      <c r="U26" s="50" t="s">
        <v>57</v>
      </c>
    </row>
    <row r="27" ht="15.75" customHeight="1">
      <c r="B27" s="22"/>
      <c r="C27" s="8"/>
      <c r="D27" s="9" t="s">
        <v>15</v>
      </c>
      <c r="E27" s="9" t="s">
        <v>16</v>
      </c>
      <c r="F27" s="9" t="s">
        <v>17</v>
      </c>
      <c r="G27" s="9" t="s">
        <v>18</v>
      </c>
      <c r="H27" s="9" t="s">
        <v>19</v>
      </c>
      <c r="I27" s="9" t="s">
        <v>20</v>
      </c>
      <c r="J27" s="9" t="s">
        <v>21</v>
      </c>
      <c r="K27" s="9" t="s">
        <v>22</v>
      </c>
      <c r="L27" s="9" t="s">
        <v>23</v>
      </c>
      <c r="M27" s="9"/>
      <c r="N27" s="9"/>
      <c r="O27" s="9"/>
      <c r="P27" s="31"/>
      <c r="Q27" s="54"/>
      <c r="R27" s="9">
        <v>1.0</v>
      </c>
      <c r="S27" s="9">
        <v>2.0</v>
      </c>
      <c r="T27" s="9"/>
      <c r="U27" s="9"/>
    </row>
    <row r="28" ht="15.75" customHeight="1">
      <c r="B28" s="22">
        <v>50.0</v>
      </c>
      <c r="C28" s="8"/>
      <c r="D28" s="43">
        <v>0.0511</v>
      </c>
      <c r="E28" s="43">
        <v>0.0506</v>
      </c>
      <c r="F28" s="20">
        <v>0.041</v>
      </c>
      <c r="G28" s="20">
        <v>0.023</v>
      </c>
      <c r="H28" s="20">
        <f t="shared" ref="H28:I28" si="41">F28*50</f>
        <v>2.05</v>
      </c>
      <c r="I28" s="20">
        <f t="shared" si="41"/>
        <v>1.15</v>
      </c>
      <c r="J28" s="20">
        <f t="shared" ref="J28:K28" si="42">(H28-0.0244)/0.1678</f>
        <v>12.07151371</v>
      </c>
      <c r="K28" s="20">
        <f t="shared" si="42"/>
        <v>6.707985697</v>
      </c>
      <c r="L28" s="20">
        <f t="shared" ref="L28:L34" si="47">(J28+K28)/2</f>
        <v>9.389749702</v>
      </c>
      <c r="M28" s="20">
        <f t="shared" ref="M28:M34" si="48">STDEV(J28:K28)</f>
        <v>3.792587027</v>
      </c>
      <c r="N28" s="20">
        <f t="shared" ref="N28:O28" si="43">(($Q$5-J28)/$Q$5)*100</f>
        <v>94.21680143</v>
      </c>
      <c r="O28" s="20">
        <f t="shared" si="43"/>
        <v>96.78635056</v>
      </c>
      <c r="P28" s="14">
        <f>(N28+O28)/2</f>
        <v>95.50157599</v>
      </c>
      <c r="Q28" s="56">
        <f t="shared" ref="Q28:Q34" si="50">STDEV(N28:O28)</f>
        <v>1.816945614</v>
      </c>
      <c r="R28" s="20">
        <f t="shared" ref="R28:S28" si="44">(($Q$5-J28)/D28)*$Q$9</f>
        <v>76.97170007</v>
      </c>
      <c r="S28" s="20">
        <f t="shared" si="44"/>
        <v>79.85226154</v>
      </c>
      <c r="T28" s="20">
        <f t="shared" ref="T28:T34" si="52">(R28+S28)/2</f>
        <v>78.41198081</v>
      </c>
      <c r="U28" s="20">
        <f t="shared" ref="U28:U34" si="53">STDEV(R28:S28)</f>
        <v>2.036864547</v>
      </c>
    </row>
    <row r="29" ht="15.75" customHeight="1">
      <c r="B29" s="22">
        <v>75.0</v>
      </c>
      <c r="C29" s="8"/>
      <c r="D29" s="43">
        <v>0.0761</v>
      </c>
      <c r="E29" s="43">
        <v>0.0752</v>
      </c>
      <c r="F29" s="20">
        <v>0.02</v>
      </c>
      <c r="G29" s="20">
        <v>0.035</v>
      </c>
      <c r="H29" s="20">
        <f t="shared" ref="H29:I29" si="45">F29*50</f>
        <v>1</v>
      </c>
      <c r="I29" s="20">
        <f t="shared" si="45"/>
        <v>1.75</v>
      </c>
      <c r="J29" s="20">
        <f t="shared" ref="J29:K29" si="46">(H29-0.0244)/0.1678</f>
        <v>5.814064362</v>
      </c>
      <c r="K29" s="20">
        <f t="shared" si="46"/>
        <v>10.28367104</v>
      </c>
      <c r="L29" s="20">
        <f t="shared" si="47"/>
        <v>8.0488677</v>
      </c>
      <c r="M29" s="20">
        <f t="shared" si="48"/>
        <v>3.160489189</v>
      </c>
      <c r="N29" s="20">
        <f t="shared" ref="N29:O29" si="49">(($Q$5-J29)/$Q$5)*100</f>
        <v>97.21460874</v>
      </c>
      <c r="O29" s="20">
        <f t="shared" si="49"/>
        <v>95.0733178</v>
      </c>
      <c r="P29" s="14"/>
      <c r="Q29" s="56">
        <f t="shared" si="50"/>
        <v>1.514121345</v>
      </c>
      <c r="R29" s="20">
        <f t="shared" ref="R29:S29" si="51">(($Q$5-J29)/D29)*$Q$9</f>
        <v>53.32986676</v>
      </c>
      <c r="S29" s="20">
        <f t="shared" si="51"/>
        <v>52.77939797</v>
      </c>
      <c r="T29" s="20">
        <f t="shared" si="52"/>
        <v>53.05463236</v>
      </c>
      <c r="U29" s="20">
        <f t="shared" si="53"/>
        <v>0.389240218</v>
      </c>
    </row>
    <row r="30" ht="15.75" customHeight="1">
      <c r="B30" s="22">
        <v>100.0</v>
      </c>
      <c r="C30" s="8"/>
      <c r="D30" s="43">
        <v>0.1026</v>
      </c>
      <c r="E30" s="43">
        <v>0.1022</v>
      </c>
      <c r="F30" s="20">
        <v>0.459</v>
      </c>
      <c r="G30" s="20">
        <v>0.324</v>
      </c>
      <c r="H30" s="20">
        <f t="shared" ref="H30:I30" si="54">F30*1</f>
        <v>0.459</v>
      </c>
      <c r="I30" s="20">
        <f t="shared" si="54"/>
        <v>0.324</v>
      </c>
      <c r="J30" s="20">
        <f t="shared" ref="J30:K30" si="55">(H30-0.0244)/0.1678</f>
        <v>2.589988081</v>
      </c>
      <c r="K30" s="20">
        <f t="shared" si="55"/>
        <v>1.78545888</v>
      </c>
      <c r="L30" s="20">
        <f t="shared" si="47"/>
        <v>2.18772348</v>
      </c>
      <c r="M30" s="20">
        <f t="shared" si="48"/>
        <v>0.568888054</v>
      </c>
      <c r="N30" s="20">
        <f t="shared" ref="N30:O30" si="56">(($Q$5-J30)/$Q$5)*100</f>
        <v>98.75919328</v>
      </c>
      <c r="O30" s="20">
        <f t="shared" si="56"/>
        <v>99.14462565</v>
      </c>
      <c r="P30" s="14">
        <f>(N30+O30)/2</f>
        <v>98.95190946</v>
      </c>
      <c r="Q30" s="56">
        <f t="shared" si="50"/>
        <v>0.2725418421</v>
      </c>
      <c r="R30" s="20">
        <f t="shared" ref="R30:S30" si="57">(($Q$5-J30)/D30)*$Q$9</f>
        <v>40.18405834</v>
      </c>
      <c r="S30" s="20">
        <f t="shared" si="57"/>
        <v>40.49877662</v>
      </c>
      <c r="T30" s="20">
        <f t="shared" si="52"/>
        <v>40.34141748</v>
      </c>
      <c r="U30" s="20">
        <f t="shared" si="53"/>
        <v>0.2225394241</v>
      </c>
    </row>
    <row r="31" ht="15.75" customHeight="1">
      <c r="B31" s="22">
        <v>125.0</v>
      </c>
      <c r="C31" s="8"/>
      <c r="D31" s="43">
        <v>0.1254</v>
      </c>
      <c r="E31" s="43">
        <v>0.1255</v>
      </c>
      <c r="F31" s="20">
        <v>0.018</v>
      </c>
      <c r="G31" s="20">
        <v>0.013</v>
      </c>
      <c r="H31" s="20">
        <f t="shared" ref="H31:I31" si="58">F31*50</f>
        <v>0.9</v>
      </c>
      <c r="I31" s="20">
        <f t="shared" si="58"/>
        <v>0.65</v>
      </c>
      <c r="J31" s="20">
        <f t="shared" ref="J31:K31" si="59">(H31-0.0244)/0.1678</f>
        <v>5.218116806</v>
      </c>
      <c r="K31" s="20">
        <f t="shared" si="59"/>
        <v>3.728247914</v>
      </c>
      <c r="L31" s="20">
        <f t="shared" si="47"/>
        <v>4.47318236</v>
      </c>
      <c r="M31" s="20">
        <f t="shared" si="48"/>
        <v>1.053496396</v>
      </c>
      <c r="N31" s="20">
        <f t="shared" ref="N31:O31" si="60">(($Q$5-J31)/$Q$5)*100</f>
        <v>97.5001142</v>
      </c>
      <c r="O31" s="20">
        <f t="shared" si="60"/>
        <v>98.21387785</v>
      </c>
      <c r="P31" s="14"/>
      <c r="Q31" s="56">
        <f t="shared" si="50"/>
        <v>0.5047071151</v>
      </c>
      <c r="R31" s="20">
        <f t="shared" ref="R31:S31" si="61">(($Q$5-J31)/D31)*$Q$9</f>
        <v>32.45870663</v>
      </c>
      <c r="S31" s="20">
        <f t="shared" si="61"/>
        <v>32.67027243</v>
      </c>
      <c r="T31" s="20">
        <f t="shared" si="52"/>
        <v>32.56448953</v>
      </c>
      <c r="U31" s="20">
        <f t="shared" si="53"/>
        <v>0.1495996077</v>
      </c>
    </row>
    <row r="32" ht="15.75" customHeight="1">
      <c r="B32" s="22">
        <v>150.0</v>
      </c>
      <c r="C32" s="8"/>
      <c r="D32" s="43">
        <v>0.152</v>
      </c>
      <c r="E32" s="43">
        <v>0.152</v>
      </c>
      <c r="F32" s="20">
        <v>0.239</v>
      </c>
      <c r="G32" s="20">
        <v>0.255</v>
      </c>
      <c r="H32" s="20">
        <f t="shared" ref="H32:I32" si="62">F32*1</f>
        <v>0.239</v>
      </c>
      <c r="I32" s="20">
        <f t="shared" si="62"/>
        <v>0.255</v>
      </c>
      <c r="J32" s="20">
        <f t="shared" ref="J32:K32" si="63">(H32-0.0244)/0.1678</f>
        <v>1.278903456</v>
      </c>
      <c r="K32" s="20">
        <f t="shared" si="63"/>
        <v>1.374255066</v>
      </c>
      <c r="L32" s="20">
        <f t="shared" si="47"/>
        <v>1.326579261</v>
      </c>
      <c r="M32" s="20">
        <f t="shared" si="48"/>
        <v>0.06742376936</v>
      </c>
      <c r="N32" s="20">
        <f t="shared" ref="N32:O32" si="64">(($Q$5-J32)/$Q$5)*100</f>
        <v>99.38730529</v>
      </c>
      <c r="O32" s="20">
        <f t="shared" si="64"/>
        <v>99.34162441</v>
      </c>
      <c r="P32" s="14">
        <f>(N32+O32)/2</f>
        <v>99.36446485</v>
      </c>
      <c r="Q32" s="56">
        <f t="shared" si="50"/>
        <v>0.03230125536</v>
      </c>
      <c r="R32" s="20">
        <f t="shared" ref="R32:S32" si="65">(($Q$5-J32)/D32)*$Q$9</f>
        <v>27.29675052</v>
      </c>
      <c r="S32" s="20">
        <f t="shared" si="65"/>
        <v>27.28420425</v>
      </c>
      <c r="T32" s="20">
        <f t="shared" si="52"/>
        <v>27.29047739</v>
      </c>
      <c r="U32" s="20">
        <f t="shared" si="53"/>
        <v>0.0088715486</v>
      </c>
    </row>
    <row r="33" ht="15.75" customHeight="1">
      <c r="B33" s="22">
        <v>175.0</v>
      </c>
      <c r="C33" s="8"/>
      <c r="D33" s="43">
        <v>0.1751</v>
      </c>
      <c r="E33" s="43">
        <v>0.1761</v>
      </c>
      <c r="F33" s="20">
        <v>0.019</v>
      </c>
      <c r="G33" s="20">
        <v>0.011</v>
      </c>
      <c r="H33" s="20">
        <f t="shared" ref="H33:I33" si="66">F33*50</f>
        <v>0.95</v>
      </c>
      <c r="I33" s="20">
        <f t="shared" si="66"/>
        <v>0.55</v>
      </c>
      <c r="J33" s="20">
        <f t="shared" ref="J33:K33" si="67">(H33-0.0244)/0.1678</f>
        <v>5.516090584</v>
      </c>
      <c r="K33" s="20">
        <f t="shared" si="67"/>
        <v>3.132300358</v>
      </c>
      <c r="L33" s="20">
        <f t="shared" si="47"/>
        <v>4.324195471</v>
      </c>
      <c r="M33" s="20">
        <f t="shared" si="48"/>
        <v>1.685594234</v>
      </c>
      <c r="N33" s="20">
        <f t="shared" ref="N33:O33" si="68">(($Q$5-J33)/$Q$5)*100</f>
        <v>97.35736147</v>
      </c>
      <c r="O33" s="20">
        <f t="shared" si="68"/>
        <v>98.49938331</v>
      </c>
      <c r="P33" s="14"/>
      <c r="Q33" s="56">
        <f t="shared" si="50"/>
        <v>0.8075313841</v>
      </c>
      <c r="R33" s="20">
        <f t="shared" ref="R33:S33" si="69">(($Q$5-J33)/D33)*$Q$9</f>
        <v>23.21166383</v>
      </c>
      <c r="S33" s="20">
        <f t="shared" si="69"/>
        <v>23.35058569</v>
      </c>
      <c r="T33" s="20">
        <f t="shared" si="52"/>
        <v>23.28112476</v>
      </c>
      <c r="U33" s="20">
        <f t="shared" si="53"/>
        <v>0.0982325939</v>
      </c>
    </row>
    <row r="34" ht="15.75" customHeight="1">
      <c r="B34" s="22">
        <v>200.0</v>
      </c>
      <c r="C34" s="8"/>
      <c r="D34" s="43">
        <v>0.2045</v>
      </c>
      <c r="E34" s="43">
        <v>0.2028</v>
      </c>
      <c r="F34" s="20">
        <v>0.167</v>
      </c>
      <c r="G34" s="20">
        <v>0.161</v>
      </c>
      <c r="H34" s="20">
        <f t="shared" ref="H34:I34" si="70">F34*1</f>
        <v>0.167</v>
      </c>
      <c r="I34" s="20">
        <f t="shared" si="70"/>
        <v>0.161</v>
      </c>
      <c r="J34" s="20">
        <f t="shared" ref="J34:K34" si="71">(H34-0.0244)/0.1678</f>
        <v>0.8498212157</v>
      </c>
      <c r="K34" s="20">
        <f t="shared" si="71"/>
        <v>0.8140643623</v>
      </c>
      <c r="L34" s="20">
        <f t="shared" si="47"/>
        <v>0.831942789</v>
      </c>
      <c r="M34" s="20">
        <f t="shared" si="48"/>
        <v>0.02528391351</v>
      </c>
      <c r="N34" s="20">
        <f t="shared" ref="N34:O34" si="72">(($Q$5-J34)/$Q$5)*100</f>
        <v>99.59286922</v>
      </c>
      <c r="O34" s="20">
        <f t="shared" si="72"/>
        <v>99.60999954</v>
      </c>
      <c r="P34" s="14">
        <f>(N34+O34)/2</f>
        <v>99.60143438</v>
      </c>
      <c r="Q34" s="56">
        <f t="shared" si="50"/>
        <v>0.01211297076</v>
      </c>
      <c r="R34" s="20">
        <f t="shared" ref="R34:S34" si="73">(($Q$5-J34)/D34)*$Q$9</f>
        <v>20.33099131</v>
      </c>
      <c r="S34" s="20">
        <f t="shared" si="73"/>
        <v>20.50494507</v>
      </c>
      <c r="T34" s="20">
        <f t="shared" si="52"/>
        <v>20.41796819</v>
      </c>
      <c r="U34" s="20">
        <f t="shared" si="53"/>
        <v>0.1230038825</v>
      </c>
    </row>
    <row r="35" ht="15.75" customHeight="1"/>
    <row r="36" ht="15.75" customHeight="1"/>
    <row r="37" ht="15.75" customHeight="1"/>
    <row r="38" ht="15.75" customHeight="1">
      <c r="D38" s="46" t="s">
        <v>67</v>
      </c>
      <c r="E38" s="27"/>
      <c r="F38" s="8"/>
      <c r="H38" s="47" t="s">
        <v>54</v>
      </c>
    </row>
    <row r="39" ht="15.75" customHeight="1"/>
    <row r="40" ht="15.75" customHeight="1">
      <c r="B40" s="48" t="s">
        <v>56</v>
      </c>
      <c r="C40" s="8"/>
      <c r="D40" s="49" t="s">
        <v>5</v>
      </c>
      <c r="E40" s="8"/>
      <c r="F40" s="49" t="s">
        <v>6</v>
      </c>
      <c r="G40" s="8"/>
      <c r="H40" s="49" t="s">
        <v>36</v>
      </c>
      <c r="I40" s="8"/>
      <c r="J40" s="49" t="s">
        <v>1</v>
      </c>
      <c r="K40" s="8"/>
      <c r="L40" s="50" t="s">
        <v>7</v>
      </c>
      <c r="M40" s="50" t="s">
        <v>8</v>
      </c>
      <c r="N40" s="49" t="s">
        <v>9</v>
      </c>
      <c r="O40" s="8"/>
      <c r="P40" s="51" t="s">
        <v>10</v>
      </c>
      <c r="Q40" s="52" t="s">
        <v>8</v>
      </c>
      <c r="R40" s="49" t="s">
        <v>11</v>
      </c>
      <c r="S40" s="8"/>
      <c r="T40" s="50" t="s">
        <v>12</v>
      </c>
      <c r="U40" s="50" t="s">
        <v>8</v>
      </c>
    </row>
    <row r="41" ht="15.75" customHeight="1">
      <c r="B41" s="22"/>
      <c r="C41" s="8"/>
      <c r="D41" s="9" t="s">
        <v>15</v>
      </c>
      <c r="E41" s="9" t="s">
        <v>16</v>
      </c>
      <c r="F41" s="9" t="s">
        <v>17</v>
      </c>
      <c r="G41" s="9" t="s">
        <v>18</v>
      </c>
      <c r="H41" s="9" t="s">
        <v>19</v>
      </c>
      <c r="I41" s="9" t="s">
        <v>20</v>
      </c>
      <c r="J41" s="9" t="s">
        <v>21</v>
      </c>
      <c r="K41" s="9" t="s">
        <v>22</v>
      </c>
      <c r="L41" s="9" t="s">
        <v>23</v>
      </c>
      <c r="M41" s="9"/>
      <c r="N41" s="9"/>
      <c r="O41" s="9"/>
      <c r="P41" s="31"/>
      <c r="Q41" s="54"/>
      <c r="R41" s="9">
        <v>1.0</v>
      </c>
      <c r="S41" s="9">
        <v>2.0</v>
      </c>
      <c r="T41" s="9"/>
      <c r="U41" s="9"/>
    </row>
    <row r="42" ht="15.75" customHeight="1">
      <c r="B42" s="22">
        <v>50.0</v>
      </c>
      <c r="C42" s="8"/>
      <c r="D42" s="20">
        <v>0.0502</v>
      </c>
      <c r="E42" s="20">
        <v>0.0517</v>
      </c>
      <c r="F42" s="20">
        <v>0.042</v>
      </c>
      <c r="G42" s="20">
        <v>0.03</v>
      </c>
      <c r="H42" s="20">
        <f t="shared" ref="H42:I42" si="74">F42*50</f>
        <v>2.1</v>
      </c>
      <c r="I42" s="20">
        <f t="shared" si="74"/>
        <v>1.5</v>
      </c>
      <c r="J42" s="20">
        <f t="shared" ref="J42:K42" si="75">(H42-0.0244)/0.1678</f>
        <v>12.36948749</v>
      </c>
      <c r="K42" s="20">
        <f t="shared" si="75"/>
        <v>8.793802145</v>
      </c>
      <c r="L42" s="20">
        <f t="shared" ref="L42:L48" si="80">(J42+K42)/2</f>
        <v>10.58164482</v>
      </c>
      <c r="M42" s="20">
        <f t="shared" ref="M42:M48" si="81">STDEV(J42:K42)</f>
        <v>2.528391351</v>
      </c>
      <c r="N42" s="20">
        <f t="shared" ref="N42:O42" si="76">(($Q$5-J42)/$Q$5)*100</f>
        <v>94.0740487</v>
      </c>
      <c r="O42" s="20">
        <f t="shared" si="76"/>
        <v>95.78708145</v>
      </c>
      <c r="P42" s="14">
        <f>(N42+O42)/2</f>
        <v>94.93056507</v>
      </c>
      <c r="Q42" s="56">
        <f t="shared" ref="Q42:Q48" si="83">STDEV(N42:O42)</f>
        <v>1.211297076</v>
      </c>
      <c r="R42" s="20">
        <f t="shared" ref="R42:S42" si="77">(($Q$5-J42)/D42)*$Q$9</f>
        <v>78.23295614</v>
      </c>
      <c r="S42" s="20">
        <f t="shared" si="77"/>
        <v>77.34638501</v>
      </c>
      <c r="T42" s="20">
        <f t="shared" ref="T42:T48" si="85">(R42+S42)/2</f>
        <v>77.78967057</v>
      </c>
      <c r="U42" s="20">
        <f t="shared" ref="U42:U48" si="86">STDEV(R42:S42)</f>
        <v>0.6269004579</v>
      </c>
    </row>
    <row r="43" ht="15.75" customHeight="1">
      <c r="B43" s="22">
        <v>75.0</v>
      </c>
      <c r="C43" s="8"/>
      <c r="D43" s="20">
        <v>0.0761</v>
      </c>
      <c r="E43" s="20">
        <v>0.076</v>
      </c>
      <c r="F43" s="20">
        <v>0.056</v>
      </c>
      <c r="G43" s="20">
        <v>0.072</v>
      </c>
      <c r="H43" s="20">
        <f t="shared" ref="H43:I43" si="78">F43*50</f>
        <v>2.8</v>
      </c>
      <c r="I43" s="20">
        <f t="shared" si="78"/>
        <v>3.6</v>
      </c>
      <c r="J43" s="20">
        <f t="shared" ref="J43:K43" si="79">(H43-0.0244)/0.1678</f>
        <v>16.54112038</v>
      </c>
      <c r="K43" s="20">
        <f t="shared" si="79"/>
        <v>21.30870083</v>
      </c>
      <c r="L43" s="20">
        <f t="shared" si="80"/>
        <v>18.92491061</v>
      </c>
      <c r="M43" s="20">
        <f t="shared" si="81"/>
        <v>3.371188468</v>
      </c>
      <c r="N43" s="20">
        <f t="shared" ref="N43:O43" si="82">(($Q$5-J43)/$Q$5)*100</f>
        <v>92.07551048</v>
      </c>
      <c r="O43" s="20">
        <f t="shared" si="82"/>
        <v>89.79146681</v>
      </c>
      <c r="P43" s="14"/>
      <c r="Q43" s="56">
        <f t="shared" si="83"/>
        <v>1.615062768</v>
      </c>
      <c r="R43" s="20">
        <f t="shared" ref="R43:S43" si="84">(($Q$5-J43)/D43)*$Q$9</f>
        <v>50.51066676</v>
      </c>
      <c r="S43" s="20">
        <f t="shared" si="84"/>
        <v>49.32250173</v>
      </c>
      <c r="T43" s="20">
        <f t="shared" si="85"/>
        <v>49.91658424</v>
      </c>
      <c r="U43" s="20">
        <f t="shared" si="86"/>
        <v>0.8401595508</v>
      </c>
    </row>
    <row r="44" ht="15.75" customHeight="1">
      <c r="B44" s="22">
        <v>100.0</v>
      </c>
      <c r="C44" s="8"/>
      <c r="D44" s="20">
        <v>0.102</v>
      </c>
      <c r="E44" s="20">
        <v>0.1006</v>
      </c>
      <c r="F44" s="20">
        <v>0.631</v>
      </c>
      <c r="G44" s="20">
        <v>0.744</v>
      </c>
      <c r="H44" s="20">
        <f t="shared" ref="H44:I44" si="87">F44*1</f>
        <v>0.631</v>
      </c>
      <c r="I44" s="20">
        <f t="shared" si="87"/>
        <v>0.744</v>
      </c>
      <c r="J44" s="20">
        <f t="shared" ref="J44:K44" si="88">(H44-0.0244)/0.1678</f>
        <v>3.615017878</v>
      </c>
      <c r="K44" s="20">
        <f t="shared" si="88"/>
        <v>4.288438617</v>
      </c>
      <c r="L44" s="20">
        <f t="shared" si="80"/>
        <v>3.951728248</v>
      </c>
      <c r="M44" s="20">
        <f t="shared" si="81"/>
        <v>0.4761803711</v>
      </c>
      <c r="N44" s="20">
        <f t="shared" ref="N44:O44" si="89">(($Q$5-J44)/$Q$5)*100</f>
        <v>98.26812389</v>
      </c>
      <c r="O44" s="20">
        <f t="shared" si="89"/>
        <v>97.94550272</v>
      </c>
      <c r="P44" s="14">
        <f>(N44+O44)/2</f>
        <v>98.1068133</v>
      </c>
      <c r="Q44" s="56">
        <f t="shared" si="83"/>
        <v>0.228127616</v>
      </c>
      <c r="R44" s="20">
        <f t="shared" ref="R44:S44" si="90">(($Q$5-J44)/D44)*$Q$9</f>
        <v>40.21944892</v>
      </c>
      <c r="S44" s="20">
        <f t="shared" si="90"/>
        <v>40.64528206</v>
      </c>
      <c r="T44" s="20">
        <f t="shared" si="85"/>
        <v>40.43236549</v>
      </c>
      <c r="U44" s="20">
        <f t="shared" si="86"/>
        <v>0.3011094998</v>
      </c>
    </row>
    <row r="45" ht="15.75" customHeight="1">
      <c r="B45" s="22">
        <v>125.0</v>
      </c>
      <c r="C45" s="8"/>
      <c r="D45" s="20">
        <v>0.1255</v>
      </c>
      <c r="E45" s="20">
        <v>0.1254</v>
      </c>
      <c r="F45" s="20">
        <v>0.031</v>
      </c>
      <c r="G45" s="20">
        <v>0.024</v>
      </c>
      <c r="H45" s="20">
        <f t="shared" ref="H45:I45" si="91">F45*50</f>
        <v>1.55</v>
      </c>
      <c r="I45" s="20">
        <f t="shared" si="91"/>
        <v>1.2</v>
      </c>
      <c r="J45" s="20">
        <f t="shared" ref="J45:K45" si="92">(H45-0.0244)/0.1678</f>
        <v>9.091775924</v>
      </c>
      <c r="K45" s="20">
        <f t="shared" si="92"/>
        <v>7.005959476</v>
      </c>
      <c r="L45" s="20">
        <f t="shared" si="80"/>
        <v>8.0488677</v>
      </c>
      <c r="M45" s="20">
        <f t="shared" si="81"/>
        <v>1.474894955</v>
      </c>
      <c r="N45" s="20">
        <f t="shared" ref="N45:O45" si="93">(($Q$5-J45)/$Q$5)*100</f>
        <v>95.64432872</v>
      </c>
      <c r="O45" s="20">
        <f t="shared" si="93"/>
        <v>96.64359783</v>
      </c>
      <c r="P45" s="14"/>
      <c r="Q45" s="56">
        <f t="shared" si="83"/>
        <v>0.7065899611</v>
      </c>
      <c r="R45" s="20">
        <f t="shared" ref="R45:S45" si="94">(($Q$5-J45)/D45)*$Q$9</f>
        <v>31.81552693</v>
      </c>
      <c r="S45" s="20">
        <f t="shared" si="94"/>
        <v>32.17356426</v>
      </c>
      <c r="T45" s="20">
        <f t="shared" si="85"/>
        <v>31.99454559</v>
      </c>
      <c r="U45" s="20">
        <f t="shared" si="86"/>
        <v>0.2531706266</v>
      </c>
    </row>
    <row r="46" ht="15.75" customHeight="1">
      <c r="B46" s="22">
        <v>150.0</v>
      </c>
      <c r="C46" s="8"/>
      <c r="D46" s="20">
        <v>0.1532</v>
      </c>
      <c r="E46" s="20">
        <v>0.153</v>
      </c>
      <c r="F46" s="20">
        <v>0.491</v>
      </c>
      <c r="G46" s="20">
        <v>0.451</v>
      </c>
      <c r="H46" s="20">
        <f t="shared" ref="H46:I46" si="95">F46*1</f>
        <v>0.491</v>
      </c>
      <c r="I46" s="20">
        <f t="shared" si="95"/>
        <v>0.451</v>
      </c>
      <c r="J46" s="20">
        <f t="shared" ref="J46:K46" si="96">(H46-0.0244)/0.1678</f>
        <v>2.780691299</v>
      </c>
      <c r="K46" s="20">
        <f t="shared" si="96"/>
        <v>2.542312277</v>
      </c>
      <c r="L46" s="20">
        <f t="shared" si="80"/>
        <v>2.661501788</v>
      </c>
      <c r="M46" s="20">
        <f t="shared" si="81"/>
        <v>0.1685594234</v>
      </c>
      <c r="N46" s="20">
        <f t="shared" ref="N46:O46" si="97">(($Q$5-J46)/$Q$5)*100</f>
        <v>98.66783153</v>
      </c>
      <c r="O46" s="20">
        <f t="shared" si="97"/>
        <v>98.78203371</v>
      </c>
      <c r="P46" s="14">
        <f>(N46+O46)/2</f>
        <v>98.72493262</v>
      </c>
      <c r="Q46" s="56">
        <f t="shared" si="83"/>
        <v>0.08075313841</v>
      </c>
      <c r="R46" s="20">
        <f t="shared" ref="R46:S46" si="98">(($Q$5-J46)/D46)*$Q$9</f>
        <v>26.886882</v>
      </c>
      <c r="S46" s="20">
        <f t="shared" si="98"/>
        <v>26.9531889</v>
      </c>
      <c r="T46" s="20">
        <f t="shared" si="85"/>
        <v>26.92003545</v>
      </c>
      <c r="U46" s="20">
        <f t="shared" si="86"/>
        <v>0.04688606395</v>
      </c>
    </row>
    <row r="47" ht="15.75" customHeight="1">
      <c r="B47" s="22">
        <v>175.0</v>
      </c>
      <c r="C47" s="8"/>
      <c r="D47" s="20">
        <v>0.1752</v>
      </c>
      <c r="E47" s="20">
        <v>0.1756</v>
      </c>
      <c r="F47" s="20">
        <v>0.018</v>
      </c>
      <c r="G47" s="20">
        <v>0.017</v>
      </c>
      <c r="H47" s="20">
        <f t="shared" ref="H47:I47" si="99">F47*50</f>
        <v>0.9</v>
      </c>
      <c r="I47" s="20">
        <f t="shared" si="99"/>
        <v>0.85</v>
      </c>
      <c r="J47" s="20">
        <f t="shared" ref="J47:K47" si="100">(H47-0.0244)/0.1678</f>
        <v>5.218116806</v>
      </c>
      <c r="K47" s="20">
        <f t="shared" si="100"/>
        <v>4.920143027</v>
      </c>
      <c r="L47" s="20">
        <f t="shared" si="80"/>
        <v>5.069129917</v>
      </c>
      <c r="M47" s="20">
        <f t="shared" si="81"/>
        <v>0.2106992793</v>
      </c>
      <c r="N47" s="20">
        <f t="shared" ref="N47:O47" si="101">(($Q$5-J47)/$Q$5)*100</f>
        <v>97.5001142</v>
      </c>
      <c r="O47" s="20">
        <f t="shared" si="101"/>
        <v>97.64286693</v>
      </c>
      <c r="P47" s="14"/>
      <c r="Q47" s="56">
        <f t="shared" si="83"/>
        <v>0.100941423</v>
      </c>
      <c r="R47" s="20">
        <f t="shared" ref="R47:S47" si="102">(($Q$5-J47)/D47)*$Q$9</f>
        <v>23.23243043</v>
      </c>
      <c r="S47" s="20">
        <f t="shared" si="102"/>
        <v>23.21344697</v>
      </c>
      <c r="T47" s="20">
        <f t="shared" si="85"/>
        <v>23.2229387</v>
      </c>
      <c r="U47" s="20">
        <f t="shared" si="86"/>
        <v>0.01342333745</v>
      </c>
    </row>
    <row r="48" ht="15.75" customHeight="1">
      <c r="B48" s="22">
        <v>200.0</v>
      </c>
      <c r="C48" s="8"/>
      <c r="D48" s="20">
        <v>0.2</v>
      </c>
      <c r="E48" s="20">
        <v>0.2</v>
      </c>
      <c r="F48" s="20">
        <v>0.484</v>
      </c>
      <c r="G48" s="20">
        <v>0.53</v>
      </c>
      <c r="H48" s="20">
        <f t="shared" ref="H48:I48" si="103">F48*1</f>
        <v>0.484</v>
      </c>
      <c r="I48" s="20">
        <f t="shared" si="103"/>
        <v>0.53</v>
      </c>
      <c r="J48" s="20">
        <f t="shared" ref="J48:K48" si="104">(H48-0.0244)/0.1678</f>
        <v>2.73897497</v>
      </c>
      <c r="K48" s="20">
        <f t="shared" si="104"/>
        <v>3.013110846</v>
      </c>
      <c r="L48" s="20">
        <f t="shared" si="80"/>
        <v>2.876042908</v>
      </c>
      <c r="M48" s="20">
        <f t="shared" si="81"/>
        <v>0.1938433369</v>
      </c>
      <c r="N48" s="20">
        <f t="shared" ref="N48:O48" si="105">(($Q$5-J48)/$Q$5)*100</f>
        <v>98.68781691</v>
      </c>
      <c r="O48" s="20">
        <f t="shared" si="105"/>
        <v>98.5564844</v>
      </c>
      <c r="P48" s="14">
        <f>(N48+O48)/2</f>
        <v>98.62215066</v>
      </c>
      <c r="Q48" s="56">
        <f t="shared" si="83"/>
        <v>0.09286610917</v>
      </c>
      <c r="R48" s="20">
        <f t="shared" ref="R48:S48" si="106">(($Q$5-J48)/D48)*$Q$9</f>
        <v>20.59952324</v>
      </c>
      <c r="S48" s="20">
        <f t="shared" si="106"/>
        <v>20.57210965</v>
      </c>
      <c r="T48" s="20">
        <f t="shared" si="85"/>
        <v>20.58581645</v>
      </c>
      <c r="U48" s="20">
        <f t="shared" si="86"/>
        <v>0.01938433369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B41:C41"/>
    <mergeCell ref="B42:C42"/>
    <mergeCell ref="B43:C43"/>
    <mergeCell ref="B44:C44"/>
    <mergeCell ref="B45:C45"/>
    <mergeCell ref="B46:C46"/>
    <mergeCell ref="B47:C47"/>
    <mergeCell ref="B48:C48"/>
    <mergeCell ref="B34:C34"/>
    <mergeCell ref="D38:F38"/>
    <mergeCell ref="B40:C40"/>
    <mergeCell ref="D40:E40"/>
    <mergeCell ref="F40:G40"/>
    <mergeCell ref="H40:I40"/>
    <mergeCell ref="J40:K40"/>
    <mergeCell ref="J11:K11"/>
    <mergeCell ref="N11:O11"/>
    <mergeCell ref="T5:U5"/>
    <mergeCell ref="S6:T6"/>
    <mergeCell ref="D9:G9"/>
    <mergeCell ref="D11:E11"/>
    <mergeCell ref="F11:G11"/>
    <mergeCell ref="H11:I11"/>
    <mergeCell ref="R11:S11"/>
    <mergeCell ref="B11:C11"/>
    <mergeCell ref="B12:C12"/>
    <mergeCell ref="B13:C13"/>
    <mergeCell ref="B14:C14"/>
    <mergeCell ref="B15:C15"/>
    <mergeCell ref="B16:C16"/>
    <mergeCell ref="B17:C17"/>
    <mergeCell ref="H26:I26"/>
    <mergeCell ref="J26:K26"/>
    <mergeCell ref="N26:O26"/>
    <mergeCell ref="R26:S26"/>
    <mergeCell ref="B18:C18"/>
    <mergeCell ref="B19:C19"/>
    <mergeCell ref="D23:G23"/>
    <mergeCell ref="D24:G24"/>
    <mergeCell ref="B26:C26"/>
    <mergeCell ref="D26:E26"/>
    <mergeCell ref="F26:G26"/>
    <mergeCell ref="B27:C27"/>
    <mergeCell ref="B28:C28"/>
    <mergeCell ref="B29:C29"/>
    <mergeCell ref="B30:C30"/>
    <mergeCell ref="B31:C31"/>
    <mergeCell ref="B32:C32"/>
    <mergeCell ref="B33:C33"/>
    <mergeCell ref="N40:O40"/>
    <mergeCell ref="R40:S4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8.71"/>
    <col customWidth="1" min="4" max="4" width="12.29"/>
    <col customWidth="1" min="5" max="10" width="8.71"/>
    <col customWidth="1" min="11" max="11" width="11.43"/>
    <col customWidth="1" min="12" max="19" width="8.71"/>
    <col customWidth="1" min="20" max="20" width="12.14"/>
    <col customWidth="1" min="21" max="29" width="8.71"/>
  </cols>
  <sheetData>
    <row r="2">
      <c r="C2" s="12" t="s">
        <v>24</v>
      </c>
      <c r="D2" s="8"/>
      <c r="E2" s="13">
        <f>100*3</f>
        <v>300</v>
      </c>
      <c r="P2" s="15"/>
      <c r="Q2" s="16" t="s">
        <v>0</v>
      </c>
      <c r="R2" s="17" t="s">
        <v>25</v>
      </c>
      <c r="S2" s="8"/>
      <c r="T2" s="18" t="s">
        <v>26</v>
      </c>
      <c r="U2" s="18" t="s">
        <v>27</v>
      </c>
      <c r="W2" s="19"/>
      <c r="X2" s="21"/>
      <c r="Z2" s="21"/>
      <c r="AA2" s="21"/>
    </row>
    <row r="3">
      <c r="M3" s="22" t="s">
        <v>28</v>
      </c>
      <c r="N3" s="8"/>
      <c r="P3" s="15" t="s">
        <v>29</v>
      </c>
      <c r="Q3" s="23">
        <v>0.677</v>
      </c>
      <c r="R3" s="24">
        <f>Q3*50</f>
        <v>33.85</v>
      </c>
      <c r="S3" s="8"/>
      <c r="T3" s="15">
        <v>200.0</v>
      </c>
      <c r="U3" s="15">
        <f>(R3-0.0244)/0.1678</f>
        <v>201.5828367</v>
      </c>
      <c r="W3" s="19"/>
      <c r="X3" s="19"/>
      <c r="Y3" s="21"/>
      <c r="Z3" s="19"/>
      <c r="AA3" s="25"/>
    </row>
    <row r="4">
      <c r="B4" s="26" t="s">
        <v>30</v>
      </c>
      <c r="C4" s="27"/>
      <c r="D4" s="8"/>
      <c r="F4" s="28" t="s">
        <v>31</v>
      </c>
      <c r="M4" s="5"/>
      <c r="N4" s="5"/>
      <c r="Q4" s="5"/>
      <c r="R4" s="6"/>
    </row>
    <row r="5">
      <c r="M5" s="5"/>
      <c r="N5" s="5"/>
      <c r="Q5" s="5"/>
      <c r="R5" s="6"/>
      <c r="Y5" s="1" t="s">
        <v>33</v>
      </c>
    </row>
    <row r="6">
      <c r="B6" s="15" t="s">
        <v>34</v>
      </c>
      <c r="C6" s="7" t="s">
        <v>5</v>
      </c>
      <c r="D6" s="8"/>
      <c r="E6" s="30" t="s">
        <v>6</v>
      </c>
      <c r="F6" s="8"/>
      <c r="G6" s="7" t="s">
        <v>36</v>
      </c>
      <c r="H6" s="8"/>
      <c r="I6" s="7" t="s">
        <v>37</v>
      </c>
      <c r="J6" s="8"/>
      <c r="K6" s="9" t="s">
        <v>7</v>
      </c>
      <c r="L6" s="9" t="s">
        <v>38</v>
      </c>
      <c r="M6" s="7" t="s">
        <v>9</v>
      </c>
      <c r="N6" s="8"/>
      <c r="O6" s="31" t="s">
        <v>10</v>
      </c>
      <c r="P6" s="9" t="s">
        <v>38</v>
      </c>
      <c r="Q6" s="7" t="s">
        <v>11</v>
      </c>
      <c r="R6" s="8"/>
      <c r="S6" s="9" t="s">
        <v>12</v>
      </c>
      <c r="T6" s="9" t="s">
        <v>38</v>
      </c>
    </row>
    <row r="7">
      <c r="B7" s="23"/>
      <c r="C7" s="9" t="s">
        <v>15</v>
      </c>
      <c r="D7" s="9" t="s">
        <v>16</v>
      </c>
      <c r="E7" s="32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22</v>
      </c>
      <c r="K7" s="9"/>
      <c r="L7" s="9"/>
      <c r="M7" s="9"/>
      <c r="N7" s="9"/>
      <c r="O7" s="31"/>
      <c r="P7" s="9"/>
      <c r="Q7" s="9">
        <v>1.0</v>
      </c>
      <c r="R7" s="9">
        <v>2.0</v>
      </c>
      <c r="S7" s="9"/>
      <c r="T7" s="9"/>
    </row>
    <row r="8">
      <c r="B8" s="23">
        <v>0.0</v>
      </c>
      <c r="C8" s="9">
        <v>0.3053</v>
      </c>
      <c r="D8" s="9">
        <v>0.3033</v>
      </c>
      <c r="E8" s="32">
        <v>0.677</v>
      </c>
      <c r="F8" s="32">
        <v>0.677</v>
      </c>
      <c r="G8" s="11">
        <f t="shared" ref="G8:H8" si="1">E8*50</f>
        <v>33.85</v>
      </c>
      <c r="H8" s="11">
        <f t="shared" si="1"/>
        <v>33.85</v>
      </c>
      <c r="I8" s="20">
        <f t="shared" ref="I8:J8" si="2">(G8-0.0244)/0.1678</f>
        <v>201.5828367</v>
      </c>
      <c r="J8" s="20">
        <f t="shared" si="2"/>
        <v>201.5828367</v>
      </c>
      <c r="K8" s="20">
        <f t="shared" ref="K8:K21" si="7">(I8+J8)/2</f>
        <v>201.5828367</v>
      </c>
      <c r="L8" s="20">
        <f t="shared" ref="L8:L21" si="8">STDEV(I8:J8)</f>
        <v>0</v>
      </c>
      <c r="M8" s="20">
        <f t="shared" ref="M8:N8" si="3">(($U$3-I8)/$U$3)*100</f>
        <v>0</v>
      </c>
      <c r="N8" s="20">
        <f t="shared" si="3"/>
        <v>0</v>
      </c>
      <c r="O8" s="14">
        <f t="shared" ref="O8:O15" si="10">(M8+N8)/2</f>
        <v>0</v>
      </c>
      <c r="P8" s="20">
        <f t="shared" ref="P8:P21" si="11">STDEV(M8:N8)</f>
        <v>0</v>
      </c>
      <c r="Q8" s="20">
        <f t="shared" ref="Q8:R8" si="4">(($U$3-I8)/C8)*0.0244</f>
        <v>0</v>
      </c>
      <c r="R8" s="20">
        <f t="shared" si="4"/>
        <v>0</v>
      </c>
      <c r="S8" s="20">
        <f t="shared" ref="S8:S21" si="13">(Q8+R8)/2</f>
        <v>0</v>
      </c>
      <c r="T8" s="20">
        <f t="shared" ref="T8:T21" si="14">STDEV(Q8:R8)</f>
        <v>0</v>
      </c>
    </row>
    <row r="9">
      <c r="B9" s="23">
        <v>1.0</v>
      </c>
      <c r="C9" s="9">
        <v>0.3053</v>
      </c>
      <c r="D9" s="9">
        <v>0.3033</v>
      </c>
      <c r="E9" s="32">
        <v>0.534</v>
      </c>
      <c r="F9" s="9">
        <v>0.535</v>
      </c>
      <c r="G9" s="11">
        <f t="shared" ref="G9:H9" si="5">E9*50</f>
        <v>26.7</v>
      </c>
      <c r="H9" s="11">
        <f t="shared" si="5"/>
        <v>26.75</v>
      </c>
      <c r="I9" s="20">
        <f t="shared" ref="I9:J9" si="6">(G9-0.0244)/0.1678</f>
        <v>158.9725864</v>
      </c>
      <c r="J9" s="20">
        <f t="shared" si="6"/>
        <v>159.2705602</v>
      </c>
      <c r="K9" s="20">
        <f t="shared" si="7"/>
        <v>159.1215733</v>
      </c>
      <c r="L9" s="20">
        <f t="shared" si="8"/>
        <v>0.2106992793</v>
      </c>
      <c r="M9" s="20">
        <f t="shared" ref="M9:N9" si="9">(($U$3-I9)/$U$3)*100</f>
        <v>21.13783643</v>
      </c>
      <c r="N9" s="20">
        <f t="shared" si="9"/>
        <v>20.99001939</v>
      </c>
      <c r="O9" s="14">
        <f t="shared" si="10"/>
        <v>21.06392791</v>
      </c>
      <c r="P9" s="20">
        <f t="shared" si="11"/>
        <v>0.1045224299</v>
      </c>
      <c r="Q9" s="20">
        <f t="shared" ref="Q9:R9" si="12">(($U$3-I9)/C9)*0.0244</f>
        <v>3.405470381</v>
      </c>
      <c r="R9" s="20">
        <f t="shared" si="12"/>
        <v>3.403954985</v>
      </c>
      <c r="S9" s="20">
        <f t="shared" si="13"/>
        <v>3.404712683</v>
      </c>
      <c r="T9" s="20">
        <f t="shared" si="14"/>
        <v>0.001071546373</v>
      </c>
    </row>
    <row r="10">
      <c r="B10" s="23">
        <v>5.0</v>
      </c>
      <c r="C10" s="9">
        <v>0.3053</v>
      </c>
      <c r="D10" s="9">
        <v>0.3033</v>
      </c>
      <c r="E10" s="32">
        <v>0.506</v>
      </c>
      <c r="F10" s="9">
        <v>0.511</v>
      </c>
      <c r="G10" s="11">
        <f t="shared" ref="G10:H10" si="15">E10*50</f>
        <v>25.3</v>
      </c>
      <c r="H10" s="11">
        <f t="shared" si="15"/>
        <v>25.55</v>
      </c>
      <c r="I10" s="20">
        <f t="shared" ref="I10:J10" si="16">(G10-0.0244)/0.1678</f>
        <v>150.6293206</v>
      </c>
      <c r="J10" s="20">
        <f t="shared" si="16"/>
        <v>152.1191895</v>
      </c>
      <c r="K10" s="20">
        <f t="shared" si="7"/>
        <v>151.3742551</v>
      </c>
      <c r="L10" s="20">
        <f t="shared" si="8"/>
        <v>1.053496396</v>
      </c>
      <c r="M10" s="20">
        <f t="shared" ref="M10:N10" si="17">(($U$3-I10)/$U$3)*100</f>
        <v>25.2767135</v>
      </c>
      <c r="N10" s="20">
        <f t="shared" si="17"/>
        <v>24.53762831</v>
      </c>
      <c r="O10" s="14">
        <f t="shared" si="10"/>
        <v>24.9071709</v>
      </c>
      <c r="P10" s="20">
        <f t="shared" si="11"/>
        <v>0.5226121497</v>
      </c>
      <c r="Q10" s="20">
        <f t="shared" ref="Q10:R10" si="18">(($U$3-I10)/C10)*0.0244</f>
        <v>4.07227577</v>
      </c>
      <c r="R10" s="20">
        <f t="shared" si="18"/>
        <v>3.979271321</v>
      </c>
      <c r="S10" s="20">
        <f t="shared" si="13"/>
        <v>4.025773546</v>
      </c>
      <c r="T10" s="20">
        <f t="shared" si="14"/>
        <v>0.06576407664</v>
      </c>
    </row>
    <row r="11">
      <c r="B11" s="23">
        <v>10.0</v>
      </c>
      <c r="C11" s="9">
        <v>0.3053</v>
      </c>
      <c r="D11" s="9">
        <v>0.3033</v>
      </c>
      <c r="E11" s="44">
        <v>0.46</v>
      </c>
      <c r="F11" s="9">
        <v>0.465</v>
      </c>
      <c r="G11" s="11">
        <f t="shared" ref="G11:H11" si="19">E11*50</f>
        <v>23</v>
      </c>
      <c r="H11" s="11">
        <f t="shared" si="19"/>
        <v>23.25</v>
      </c>
      <c r="I11" s="20">
        <f t="shared" ref="I11:J11" si="20">(G11-0.0244)/0.1678</f>
        <v>136.9225268</v>
      </c>
      <c r="J11" s="20">
        <f t="shared" si="20"/>
        <v>138.4123957</v>
      </c>
      <c r="K11" s="20">
        <f t="shared" si="7"/>
        <v>137.6674613</v>
      </c>
      <c r="L11" s="20">
        <f t="shared" si="8"/>
        <v>1.053496396</v>
      </c>
      <c r="M11" s="20">
        <f t="shared" ref="M11:N11" si="21">(($U$3-I11)/$U$3)*100</f>
        <v>32.07629724</v>
      </c>
      <c r="N11" s="20">
        <f t="shared" si="21"/>
        <v>31.33721205</v>
      </c>
      <c r="O11" s="14">
        <f t="shared" si="10"/>
        <v>31.70675465</v>
      </c>
      <c r="P11" s="20">
        <f t="shared" si="11"/>
        <v>0.5226121497</v>
      </c>
      <c r="Q11" s="20">
        <f t="shared" ref="Q11:R11" si="22">(($U$3-I11)/C11)*0.0244</f>
        <v>5.167741767</v>
      </c>
      <c r="R11" s="20">
        <f t="shared" si="22"/>
        <v>5.081960964</v>
      </c>
      <c r="S11" s="20">
        <f t="shared" si="13"/>
        <v>5.124851365</v>
      </c>
      <c r="T11" s="20">
        <f t="shared" si="14"/>
        <v>0.06065618719</v>
      </c>
    </row>
    <row r="12">
      <c r="B12" s="23">
        <v>30.0</v>
      </c>
      <c r="C12" s="9">
        <v>0.3053</v>
      </c>
      <c r="D12" s="9">
        <v>0.3033</v>
      </c>
      <c r="E12" s="44">
        <v>0.363</v>
      </c>
      <c r="F12" s="9">
        <v>0.382</v>
      </c>
      <c r="G12" s="11">
        <f t="shared" ref="G12:H12" si="23">E12*50</f>
        <v>18.15</v>
      </c>
      <c r="H12" s="11">
        <f t="shared" si="23"/>
        <v>19.1</v>
      </c>
      <c r="I12" s="20">
        <f t="shared" ref="I12:J12" si="24">(G12-0.0244)/0.1678</f>
        <v>108.0190703</v>
      </c>
      <c r="J12" s="20">
        <f t="shared" si="24"/>
        <v>113.6805721</v>
      </c>
      <c r="K12" s="20">
        <f t="shared" si="7"/>
        <v>110.8498212</v>
      </c>
      <c r="L12" s="20">
        <f t="shared" si="8"/>
        <v>4.003286306</v>
      </c>
      <c r="M12" s="20">
        <f t="shared" ref="M12:N12" si="25">(($U$3-I12)/$U$3)*100</f>
        <v>46.41454993</v>
      </c>
      <c r="N12" s="20">
        <f t="shared" si="25"/>
        <v>43.60602621</v>
      </c>
      <c r="O12" s="14">
        <f t="shared" si="10"/>
        <v>45.01028807</v>
      </c>
      <c r="P12" s="20">
        <f t="shared" si="11"/>
        <v>1.985926169</v>
      </c>
      <c r="Q12" s="20">
        <f t="shared" ref="Q12:R12" si="26">(($U$3-I12)/C12)*0.0244</f>
        <v>7.477746151</v>
      </c>
      <c r="R12" s="20">
        <f t="shared" si="26"/>
        <v>7.071596625</v>
      </c>
      <c r="S12" s="20">
        <f t="shared" si="13"/>
        <v>7.274671388</v>
      </c>
      <c r="T12" s="20">
        <f t="shared" si="14"/>
        <v>0.2871910842</v>
      </c>
    </row>
    <row r="13">
      <c r="B13" s="23">
        <v>60.0</v>
      </c>
      <c r="C13" s="9">
        <v>0.3053</v>
      </c>
      <c r="D13" s="9">
        <v>0.3033</v>
      </c>
      <c r="E13" s="32">
        <v>0.267</v>
      </c>
      <c r="F13" s="20">
        <v>0.266</v>
      </c>
      <c r="G13" s="11">
        <f t="shared" ref="G13:H13" si="27">E13*50</f>
        <v>13.35</v>
      </c>
      <c r="H13" s="11">
        <f t="shared" si="27"/>
        <v>13.3</v>
      </c>
      <c r="I13" s="20">
        <f t="shared" ref="I13:J13" si="28">(G13-0.0244)/0.1678</f>
        <v>79.4135876</v>
      </c>
      <c r="J13" s="20">
        <f t="shared" si="28"/>
        <v>79.11561383</v>
      </c>
      <c r="K13" s="20">
        <f t="shared" si="7"/>
        <v>79.26460072</v>
      </c>
      <c r="L13" s="20">
        <f t="shared" si="8"/>
        <v>0.2106992793</v>
      </c>
      <c r="M13" s="20">
        <f t="shared" ref="M13:N13" si="29">(($U$3-I13)/$U$3)*100</f>
        <v>60.60498557</v>
      </c>
      <c r="N13" s="20">
        <f t="shared" si="29"/>
        <v>60.75280261</v>
      </c>
      <c r="O13" s="14">
        <f t="shared" si="10"/>
        <v>60.67889409</v>
      </c>
      <c r="P13" s="20">
        <f t="shared" si="11"/>
        <v>0.1045224299</v>
      </c>
      <c r="Q13" s="20">
        <f t="shared" ref="Q13:R13" si="30">(($U$3-I13)/C13)*0.0244</f>
        <v>9.763936057</v>
      </c>
      <c r="R13" s="20">
        <f t="shared" si="30"/>
        <v>9.852292247</v>
      </c>
      <c r="S13" s="20">
        <f t="shared" si="13"/>
        <v>9.808114152</v>
      </c>
      <c r="T13" s="20">
        <f t="shared" si="14"/>
        <v>0.06247726082</v>
      </c>
    </row>
    <row r="14">
      <c r="B14" s="23">
        <v>90.0</v>
      </c>
      <c r="C14" s="9">
        <v>0.3053</v>
      </c>
      <c r="D14" s="9">
        <v>0.3033</v>
      </c>
      <c r="E14" s="20">
        <v>0.21</v>
      </c>
      <c r="F14" s="9">
        <v>0.213</v>
      </c>
      <c r="G14" s="11">
        <f t="shared" ref="G14:H14" si="31">E14*50</f>
        <v>10.5</v>
      </c>
      <c r="H14" s="11">
        <f t="shared" si="31"/>
        <v>10.65</v>
      </c>
      <c r="I14" s="20">
        <f t="shared" ref="I14:J14" si="32">(G14-0.0244)/0.1678</f>
        <v>62.42908224</v>
      </c>
      <c r="J14" s="20">
        <f t="shared" si="32"/>
        <v>63.32300358</v>
      </c>
      <c r="K14" s="20">
        <f t="shared" si="7"/>
        <v>62.87604291</v>
      </c>
      <c r="L14" s="20">
        <f t="shared" si="8"/>
        <v>0.6320978378</v>
      </c>
      <c r="M14" s="20">
        <f t="shared" ref="M14:N14" si="33">(($U$3-I14)/$U$3)*100</f>
        <v>69.03055674</v>
      </c>
      <c r="N14" s="20">
        <f t="shared" si="33"/>
        <v>68.58710562</v>
      </c>
      <c r="O14" s="14">
        <f t="shared" si="10"/>
        <v>68.80883118</v>
      </c>
      <c r="P14" s="20">
        <f t="shared" si="11"/>
        <v>0.3135672898</v>
      </c>
      <c r="Q14" s="20">
        <f t="shared" ref="Q14:R14" si="34">(($U$3-I14)/C14)*0.0244</f>
        <v>11.12136131</v>
      </c>
      <c r="R14" s="20">
        <f t="shared" si="34"/>
        <v>11.12278249</v>
      </c>
      <c r="S14" s="20">
        <f t="shared" si="13"/>
        <v>11.1220719</v>
      </c>
      <c r="T14" s="20">
        <f t="shared" si="14"/>
        <v>0.001004921728</v>
      </c>
    </row>
    <row r="15">
      <c r="B15" s="23">
        <v>120.0</v>
      </c>
      <c r="C15" s="9">
        <v>0.3053</v>
      </c>
      <c r="D15" s="9">
        <v>0.3033</v>
      </c>
      <c r="E15" s="20">
        <v>0.17</v>
      </c>
      <c r="F15" s="9">
        <v>0.166</v>
      </c>
      <c r="G15" s="11">
        <f t="shared" ref="G15:H15" si="35">E15*50</f>
        <v>8.5</v>
      </c>
      <c r="H15" s="11">
        <f t="shared" si="35"/>
        <v>8.3</v>
      </c>
      <c r="I15" s="20">
        <f t="shared" ref="I15:J15" si="36">(G15-0.0244)/0.1678</f>
        <v>50.51013111</v>
      </c>
      <c r="J15" s="20">
        <f t="shared" si="36"/>
        <v>49.318236</v>
      </c>
      <c r="K15" s="20">
        <f t="shared" si="7"/>
        <v>49.91418355</v>
      </c>
      <c r="L15" s="20">
        <f t="shared" si="8"/>
        <v>0.842797117</v>
      </c>
      <c r="M15" s="20">
        <f t="shared" ref="M15:N15" si="37">(($U$3-I15)/$U$3)*100</f>
        <v>74.94323826</v>
      </c>
      <c r="N15" s="20">
        <f t="shared" si="37"/>
        <v>75.53450641</v>
      </c>
      <c r="O15" s="14">
        <f t="shared" si="10"/>
        <v>75.23887233</v>
      </c>
      <c r="P15" s="20">
        <f t="shared" si="11"/>
        <v>0.4180897197</v>
      </c>
      <c r="Q15" s="20">
        <f t="shared" ref="Q15:R15" si="38">(($U$3-I15)/C15)*0.0244</f>
        <v>12.07394044</v>
      </c>
      <c r="R15" s="20">
        <f t="shared" si="38"/>
        <v>12.24944364</v>
      </c>
      <c r="S15" s="20">
        <f t="shared" si="13"/>
        <v>12.16169204</v>
      </c>
      <c r="T15" s="20">
        <f t="shared" si="14"/>
        <v>0.1240995054</v>
      </c>
    </row>
    <row r="16">
      <c r="B16" s="23">
        <v>180.0</v>
      </c>
      <c r="C16" s="9">
        <v>0.3053</v>
      </c>
      <c r="D16" s="9">
        <v>0.3033</v>
      </c>
      <c r="E16" s="9">
        <v>0.105</v>
      </c>
      <c r="F16" s="20">
        <v>0.13</v>
      </c>
      <c r="G16" s="11">
        <f t="shared" ref="G16:H16" si="39">E16*50</f>
        <v>5.25</v>
      </c>
      <c r="H16" s="11">
        <f t="shared" si="39"/>
        <v>6.5</v>
      </c>
      <c r="I16" s="20">
        <f t="shared" ref="I16:J16" si="40">(G16-0.0244)/0.1678</f>
        <v>31.14183552</v>
      </c>
      <c r="J16" s="20">
        <f t="shared" si="40"/>
        <v>38.59117998</v>
      </c>
      <c r="K16" s="20">
        <f t="shared" si="7"/>
        <v>34.86650775</v>
      </c>
      <c r="L16" s="20">
        <f t="shared" si="8"/>
        <v>5.267481981</v>
      </c>
      <c r="M16" s="20">
        <f t="shared" ref="M16:N16" si="41">(($U$3-I16)/$U$3)*100</f>
        <v>84.55134573</v>
      </c>
      <c r="N16" s="20">
        <f t="shared" si="41"/>
        <v>80.85591978</v>
      </c>
      <c r="O16" s="14">
        <v>82.0</v>
      </c>
      <c r="P16" s="20">
        <f t="shared" si="11"/>
        <v>2.613060748</v>
      </c>
      <c r="Q16" s="20">
        <f t="shared" ref="Q16:R16" si="42">(($U$3-I16)/C16)*0.0244</f>
        <v>13.62188152</v>
      </c>
      <c r="R16" s="20">
        <f t="shared" si="42"/>
        <v>13.11241815</v>
      </c>
      <c r="S16" s="20">
        <f t="shared" si="13"/>
        <v>13.36714984</v>
      </c>
      <c r="T16" s="20">
        <f t="shared" si="14"/>
        <v>0.3602450074</v>
      </c>
    </row>
    <row r="17">
      <c r="B17" s="23">
        <v>240.0</v>
      </c>
      <c r="C17" s="9">
        <v>0.3053</v>
      </c>
      <c r="D17" s="9">
        <v>0.3033</v>
      </c>
      <c r="E17" s="9">
        <v>0.092</v>
      </c>
      <c r="F17" s="9">
        <v>0.089</v>
      </c>
      <c r="G17" s="11">
        <f t="shared" ref="G17:H17" si="43">E17*50</f>
        <v>4.6</v>
      </c>
      <c r="H17" s="11">
        <f t="shared" si="43"/>
        <v>4.45</v>
      </c>
      <c r="I17" s="20">
        <f t="shared" ref="I17:J17" si="44">(G17-0.0244)/0.1678</f>
        <v>27.2681764</v>
      </c>
      <c r="J17" s="20">
        <f t="shared" si="44"/>
        <v>26.37425507</v>
      </c>
      <c r="K17" s="20">
        <f t="shared" si="7"/>
        <v>26.82121573</v>
      </c>
      <c r="L17" s="20">
        <f t="shared" si="8"/>
        <v>0.6320978378</v>
      </c>
      <c r="M17" s="20">
        <f t="shared" ref="M17:N17" si="45">(($U$3-I17)/$U$3)*100</f>
        <v>86.47296722</v>
      </c>
      <c r="N17" s="20">
        <f t="shared" si="45"/>
        <v>86.91641833</v>
      </c>
      <c r="O17" s="14">
        <f t="shared" ref="O17:O21" si="50">(M17+N17)/2</f>
        <v>86.69469278</v>
      </c>
      <c r="P17" s="20">
        <f t="shared" si="11"/>
        <v>0.3135672898</v>
      </c>
      <c r="Q17" s="20">
        <f t="shared" ref="Q17:R17" si="46">(($U$3-I17)/C17)*0.0244</f>
        <v>13.93146974</v>
      </c>
      <c r="R17" s="20">
        <f t="shared" si="46"/>
        <v>14.09525022</v>
      </c>
      <c r="S17" s="20">
        <f t="shared" si="13"/>
        <v>14.01335998</v>
      </c>
      <c r="T17" s="20">
        <f t="shared" si="14"/>
        <v>0.1158102891</v>
      </c>
    </row>
    <row r="18">
      <c r="B18" s="53">
        <v>300.0</v>
      </c>
      <c r="C18" s="9">
        <v>0.3053</v>
      </c>
      <c r="D18" s="9">
        <v>0.3033</v>
      </c>
      <c r="E18" s="9">
        <v>0.076</v>
      </c>
      <c r="F18" s="9">
        <v>0.074</v>
      </c>
      <c r="G18" s="11">
        <f t="shared" ref="G18:H18" si="47">E18*50</f>
        <v>3.8</v>
      </c>
      <c r="H18" s="11">
        <f t="shared" si="47"/>
        <v>3.7</v>
      </c>
      <c r="I18" s="20">
        <f t="shared" ref="I18:J18" si="48">(G18-0.0244)/0.1678</f>
        <v>22.50059595</v>
      </c>
      <c r="J18" s="20">
        <f t="shared" si="48"/>
        <v>21.90464839</v>
      </c>
      <c r="K18" s="20">
        <f t="shared" si="7"/>
        <v>22.20262217</v>
      </c>
      <c r="L18" s="20">
        <f t="shared" si="8"/>
        <v>0.4213985585</v>
      </c>
      <c r="M18" s="20">
        <f t="shared" ref="M18:N18" si="49">(($U$3-I18)/$U$3)*100</f>
        <v>88.83803983</v>
      </c>
      <c r="N18" s="20">
        <f t="shared" si="49"/>
        <v>89.1336739</v>
      </c>
      <c r="O18" s="55">
        <f t="shared" si="50"/>
        <v>88.98585687</v>
      </c>
      <c r="P18" s="20">
        <f t="shared" si="11"/>
        <v>0.2090448599</v>
      </c>
      <c r="Q18" s="20">
        <f t="shared" ref="Q18:R18" si="51">(($U$3-I18)/C18)*0.0244</f>
        <v>14.31250139</v>
      </c>
      <c r="R18" s="20">
        <f t="shared" si="51"/>
        <v>14.45482293</v>
      </c>
      <c r="S18" s="20">
        <f t="shared" si="13"/>
        <v>14.38366216</v>
      </c>
      <c r="T18" s="20">
        <f t="shared" si="14"/>
        <v>0.1006365262</v>
      </c>
    </row>
    <row r="19">
      <c r="B19" s="23">
        <v>360.0</v>
      </c>
      <c r="C19" s="9">
        <v>0.3053</v>
      </c>
      <c r="D19" s="9">
        <v>0.3033</v>
      </c>
      <c r="E19" s="9">
        <v>0.066</v>
      </c>
      <c r="F19" s="9">
        <v>0.073</v>
      </c>
      <c r="G19" s="11">
        <f t="shared" ref="G19:H19" si="52">E19*50</f>
        <v>3.3</v>
      </c>
      <c r="H19" s="11">
        <f t="shared" si="52"/>
        <v>3.65</v>
      </c>
      <c r="I19" s="20">
        <f t="shared" ref="I19:J19" si="53">(G19-0.0244)/0.1678</f>
        <v>19.52085816</v>
      </c>
      <c r="J19" s="20">
        <f t="shared" si="53"/>
        <v>21.60667461</v>
      </c>
      <c r="K19" s="43">
        <f t="shared" si="7"/>
        <v>20.56376639</v>
      </c>
      <c r="L19" s="11">
        <f t="shared" si="8"/>
        <v>1.474894955</v>
      </c>
      <c r="M19" s="20">
        <f t="shared" ref="M19:N19" si="54">(($U$3-I19)/$U$3)*100</f>
        <v>90.31621021</v>
      </c>
      <c r="N19" s="20">
        <f t="shared" si="54"/>
        <v>89.28149094</v>
      </c>
      <c r="O19" s="14">
        <f t="shared" si="50"/>
        <v>89.79885057</v>
      </c>
      <c r="P19" s="20">
        <f t="shared" si="11"/>
        <v>0.7316570095</v>
      </c>
      <c r="Q19" s="20">
        <f t="shared" ref="Q19:R19" si="55">(($U$3-I19)/C19)*0.0244</f>
        <v>14.55064617</v>
      </c>
      <c r="R19" s="20">
        <f t="shared" si="55"/>
        <v>14.47879445</v>
      </c>
      <c r="S19" s="20">
        <f t="shared" si="13"/>
        <v>14.51472031</v>
      </c>
      <c r="T19" s="20">
        <f t="shared" si="14"/>
        <v>0.05080684385</v>
      </c>
    </row>
    <row r="20">
      <c r="B20" s="23">
        <v>480.0</v>
      </c>
      <c r="C20" s="9">
        <v>0.3053</v>
      </c>
      <c r="D20" s="9">
        <v>0.3033</v>
      </c>
      <c r="E20" s="9">
        <v>0.056</v>
      </c>
      <c r="F20" s="9">
        <v>0.059</v>
      </c>
      <c r="G20" s="11">
        <f t="shared" ref="G20:H20" si="56">E20*50</f>
        <v>2.8</v>
      </c>
      <c r="H20" s="11">
        <f t="shared" si="56"/>
        <v>2.95</v>
      </c>
      <c r="I20" s="20">
        <f t="shared" ref="I20:J20" si="57">(G20-0.0244)/0.1678</f>
        <v>16.54112038</v>
      </c>
      <c r="J20" s="20">
        <f t="shared" si="57"/>
        <v>17.43504172</v>
      </c>
      <c r="K20" s="20">
        <f t="shared" si="7"/>
        <v>16.98808105</v>
      </c>
      <c r="L20" s="20">
        <f t="shared" si="8"/>
        <v>0.6320978378</v>
      </c>
      <c r="M20" s="20">
        <f t="shared" ref="M20:N20" si="58">(($U$3-I20)/$U$3)*100</f>
        <v>91.79438059</v>
      </c>
      <c r="N20" s="20">
        <f t="shared" si="58"/>
        <v>91.35092947</v>
      </c>
      <c r="O20" s="14">
        <f t="shared" si="50"/>
        <v>91.57265503</v>
      </c>
      <c r="P20" s="20">
        <f t="shared" si="11"/>
        <v>0.3135672898</v>
      </c>
      <c r="Q20" s="20">
        <f t="shared" ref="Q20:R20" si="59">(($U$3-I20)/C20)*0.0244</f>
        <v>14.78879095</v>
      </c>
      <c r="R20" s="20">
        <f t="shared" si="59"/>
        <v>14.81439564</v>
      </c>
      <c r="S20" s="20">
        <f t="shared" si="13"/>
        <v>14.8015933</v>
      </c>
      <c r="T20" s="20">
        <f t="shared" si="14"/>
        <v>0.01810524727</v>
      </c>
    </row>
    <row r="21" ht="15.75" customHeight="1">
      <c r="B21" s="23">
        <v>1440.0</v>
      </c>
      <c r="C21" s="9">
        <v>0.3053</v>
      </c>
      <c r="D21" s="9">
        <v>0.3033</v>
      </c>
      <c r="E21" s="9">
        <v>0.053</v>
      </c>
      <c r="F21" s="9">
        <v>0.052</v>
      </c>
      <c r="G21" s="11">
        <f t="shared" ref="G21:H21" si="60">E21*50</f>
        <v>2.65</v>
      </c>
      <c r="H21" s="11">
        <f t="shared" si="60"/>
        <v>2.6</v>
      </c>
      <c r="I21" s="20">
        <f t="shared" ref="I21:J21" si="61">(G21-0.0244)/0.1678</f>
        <v>15.64719905</v>
      </c>
      <c r="J21" s="20">
        <f t="shared" si="61"/>
        <v>15.34922527</v>
      </c>
      <c r="K21" s="11">
        <f t="shared" si="7"/>
        <v>15.49821216</v>
      </c>
      <c r="L21" s="11">
        <f t="shared" si="8"/>
        <v>0.2106992793</v>
      </c>
      <c r="M21" s="20">
        <f t="shared" ref="M21:N21" si="62">(($U$3-I21)/$U$3)*100</f>
        <v>92.2378317</v>
      </c>
      <c r="N21" s="20">
        <f t="shared" si="62"/>
        <v>92.38564874</v>
      </c>
      <c r="O21" s="14">
        <f t="shared" si="50"/>
        <v>92.31174022</v>
      </c>
      <c r="P21" s="20">
        <f t="shared" si="11"/>
        <v>0.1045224299</v>
      </c>
      <c r="Q21" s="20">
        <f t="shared" ref="Q21:R21" si="63">(($U$3-I21)/C21)*0.0244</f>
        <v>14.86023439</v>
      </c>
      <c r="R21" s="20">
        <f t="shared" si="63"/>
        <v>14.98219624</v>
      </c>
      <c r="S21" s="20">
        <f t="shared" si="13"/>
        <v>14.92121531</v>
      </c>
      <c r="T21" s="20">
        <f t="shared" si="14"/>
        <v>0.08624005086</v>
      </c>
    </row>
    <row r="22" ht="15.75" customHeight="1"/>
    <row r="23" ht="15.75" customHeight="1"/>
    <row r="24" ht="15.75" customHeight="1"/>
    <row r="25" ht="15.75" customHeight="1"/>
    <row r="26" ht="15.75" customHeight="1">
      <c r="B26" s="26" t="s">
        <v>58</v>
      </c>
      <c r="C26" s="27"/>
      <c r="D26" s="8"/>
      <c r="F26" s="28" t="s">
        <v>59</v>
      </c>
    </row>
    <row r="27" ht="15.75" customHeight="1">
      <c r="Y27" s="1" t="s">
        <v>60</v>
      </c>
    </row>
    <row r="28" ht="15.75" customHeight="1">
      <c r="B28" s="15" t="s">
        <v>34</v>
      </c>
      <c r="C28" s="7" t="s">
        <v>5</v>
      </c>
      <c r="D28" s="8"/>
      <c r="E28" s="30" t="s">
        <v>6</v>
      </c>
      <c r="F28" s="8"/>
      <c r="G28" s="7" t="s">
        <v>36</v>
      </c>
      <c r="H28" s="8"/>
      <c r="I28" s="7" t="s">
        <v>37</v>
      </c>
      <c r="J28" s="8"/>
      <c r="K28" s="9" t="s">
        <v>7</v>
      </c>
      <c r="L28" s="9" t="s">
        <v>38</v>
      </c>
      <c r="M28" s="7" t="s">
        <v>9</v>
      </c>
      <c r="N28" s="8"/>
      <c r="O28" s="31" t="s">
        <v>10</v>
      </c>
      <c r="P28" s="9" t="s">
        <v>38</v>
      </c>
      <c r="Q28" s="7" t="s">
        <v>11</v>
      </c>
      <c r="R28" s="8"/>
      <c r="S28" s="9" t="s">
        <v>12</v>
      </c>
      <c r="T28" s="9" t="s">
        <v>38</v>
      </c>
    </row>
    <row r="29" ht="15.75" customHeight="1">
      <c r="B29" s="23"/>
      <c r="C29" s="9" t="s">
        <v>15</v>
      </c>
      <c r="D29" s="9" t="s">
        <v>16</v>
      </c>
      <c r="E29" s="32" t="s">
        <v>17</v>
      </c>
      <c r="F29" s="9" t="s">
        <v>18</v>
      </c>
      <c r="G29" s="9" t="s">
        <v>19</v>
      </c>
      <c r="H29" s="9" t="s">
        <v>20</v>
      </c>
      <c r="I29" s="9" t="s">
        <v>21</v>
      </c>
      <c r="J29" s="9" t="s">
        <v>22</v>
      </c>
      <c r="K29" s="9"/>
      <c r="L29" s="9"/>
      <c r="M29" s="9"/>
      <c r="N29" s="9"/>
      <c r="O29" s="31"/>
      <c r="P29" s="9"/>
      <c r="Q29" s="9">
        <v>1.0</v>
      </c>
      <c r="R29" s="9">
        <v>2.0</v>
      </c>
      <c r="S29" s="9"/>
      <c r="T29" s="9"/>
    </row>
    <row r="30" ht="15.75" customHeight="1">
      <c r="B30" s="23">
        <v>0.0</v>
      </c>
      <c r="C30" s="9">
        <v>0.3007</v>
      </c>
      <c r="D30" s="9">
        <v>0.301</v>
      </c>
      <c r="E30" s="32">
        <v>0.677</v>
      </c>
      <c r="F30" s="32">
        <v>0.677</v>
      </c>
      <c r="G30" s="11">
        <f t="shared" ref="G30:H30" si="64">E30*50</f>
        <v>33.85</v>
      </c>
      <c r="H30" s="11">
        <f t="shared" si="64"/>
        <v>33.85</v>
      </c>
      <c r="I30" s="20">
        <f t="shared" ref="I30:J30" si="65">(G30-0.0244)/0.1678</f>
        <v>201.5828367</v>
      </c>
      <c r="J30" s="20">
        <f t="shared" si="65"/>
        <v>201.5828367</v>
      </c>
      <c r="K30" s="20">
        <f t="shared" ref="K30:K43" si="70">(I30+J30)/2</f>
        <v>201.5828367</v>
      </c>
      <c r="L30" s="20">
        <f t="shared" ref="L30:L43" si="71">STDEV(I30:J30)</f>
        <v>0</v>
      </c>
      <c r="M30" s="20">
        <f t="shared" ref="M30:N30" si="66">(($U$3-I30)/$U$3)*100</f>
        <v>0</v>
      </c>
      <c r="N30" s="20">
        <f t="shared" si="66"/>
        <v>0</v>
      </c>
      <c r="O30" s="14">
        <f t="shared" ref="O30:O43" si="73">(M30+N30)/2</f>
        <v>0</v>
      </c>
      <c r="P30" s="20">
        <f t="shared" ref="P30:P43" si="74">STDEV(M30:N30)</f>
        <v>0</v>
      </c>
      <c r="Q30" s="20">
        <f t="shared" ref="Q30:R30" si="67">(($R$3-I30)/C30)*0.0244</f>
        <v>-13.61051286</v>
      </c>
      <c r="R30" s="20">
        <f t="shared" si="67"/>
        <v>-13.59694756</v>
      </c>
      <c r="S30" s="20">
        <f t="shared" ref="S30:S43" si="76">(Q30+R30)/2</f>
        <v>-13.60373021</v>
      </c>
      <c r="T30" s="20">
        <f t="shared" ref="T30:T43" si="77">STDEV(Q30:R30)</f>
        <v>0.009592112228</v>
      </c>
    </row>
    <row r="31" ht="15.75" customHeight="1">
      <c r="B31" s="23">
        <v>1.0</v>
      </c>
      <c r="C31" s="9">
        <v>0.3007</v>
      </c>
      <c r="D31" s="9">
        <v>0.301</v>
      </c>
      <c r="E31" s="32">
        <v>0.466</v>
      </c>
      <c r="F31" s="9">
        <v>0.468</v>
      </c>
      <c r="G31" s="11">
        <f t="shared" ref="G31:H31" si="68">E31*50</f>
        <v>23.3</v>
      </c>
      <c r="H31" s="11">
        <f t="shared" si="68"/>
        <v>23.4</v>
      </c>
      <c r="I31" s="20">
        <f t="shared" ref="I31:J31" si="69">(G31-0.0244)/0.1678</f>
        <v>138.7103695</v>
      </c>
      <c r="J31" s="20">
        <f t="shared" si="69"/>
        <v>139.306317</v>
      </c>
      <c r="K31" s="20">
        <f t="shared" si="70"/>
        <v>139.0083433</v>
      </c>
      <c r="L31" s="20">
        <f t="shared" si="71"/>
        <v>0.4213985585</v>
      </c>
      <c r="M31" s="20">
        <f t="shared" ref="M31:N31" si="72">(($U$3-I31)/$U$3)*100</f>
        <v>31.18939501</v>
      </c>
      <c r="N31" s="20">
        <f t="shared" si="72"/>
        <v>30.89376094</v>
      </c>
      <c r="O31" s="14">
        <f t="shared" si="73"/>
        <v>31.04157798</v>
      </c>
      <c r="P31" s="20">
        <f t="shared" si="74"/>
        <v>0.2090448599</v>
      </c>
      <c r="Q31" s="20">
        <f t="shared" ref="Q31:R31" si="75">(($R$3-I31)/C31)*0.0244</f>
        <v>-8.508789543</v>
      </c>
      <c r="R31" s="20">
        <f t="shared" si="75"/>
        <v>-8.548618392</v>
      </c>
      <c r="S31" s="20">
        <f t="shared" si="76"/>
        <v>-8.528703967</v>
      </c>
      <c r="T31" s="20">
        <f t="shared" si="77"/>
        <v>0.02816324914</v>
      </c>
    </row>
    <row r="32" ht="15.75" customHeight="1">
      <c r="B32" s="23">
        <v>5.0</v>
      </c>
      <c r="C32" s="9">
        <v>0.3007</v>
      </c>
      <c r="D32" s="9">
        <v>0.301</v>
      </c>
      <c r="E32" s="32">
        <v>0.395</v>
      </c>
      <c r="F32" s="9">
        <v>0.376</v>
      </c>
      <c r="G32" s="11">
        <f t="shared" ref="G32:H32" si="78">E32*50</f>
        <v>19.75</v>
      </c>
      <c r="H32" s="11">
        <f t="shared" si="78"/>
        <v>18.8</v>
      </c>
      <c r="I32" s="20">
        <f t="shared" ref="I32:J32" si="79">(G32-0.0244)/0.1678</f>
        <v>117.5542312</v>
      </c>
      <c r="J32" s="20">
        <f t="shared" si="79"/>
        <v>111.8927294</v>
      </c>
      <c r="K32" s="20">
        <f t="shared" si="70"/>
        <v>114.7234803</v>
      </c>
      <c r="L32" s="20">
        <f t="shared" si="71"/>
        <v>4.003286306</v>
      </c>
      <c r="M32" s="20">
        <f t="shared" ref="M32:N32" si="80">(($U$3-I32)/$U$3)*100</f>
        <v>41.68440471</v>
      </c>
      <c r="N32" s="20">
        <f t="shared" si="80"/>
        <v>44.49292843</v>
      </c>
      <c r="O32" s="14">
        <f t="shared" si="73"/>
        <v>43.08866657</v>
      </c>
      <c r="P32" s="20">
        <f t="shared" si="74"/>
        <v>1.985926169</v>
      </c>
      <c r="Q32" s="20">
        <f t="shared" ref="Q32:R32" si="81">(($R$3-I32)/C32)*0.0244</f>
        <v>-6.792095916</v>
      </c>
      <c r="R32" s="20">
        <f t="shared" si="81"/>
        <v>-6.32638737</v>
      </c>
      <c r="S32" s="20">
        <f t="shared" si="76"/>
        <v>-6.559241643</v>
      </c>
      <c r="T32" s="20">
        <f t="shared" si="77"/>
        <v>0.3293056711</v>
      </c>
    </row>
    <row r="33" ht="15.75" customHeight="1">
      <c r="B33" s="23">
        <v>10.0</v>
      </c>
      <c r="C33" s="9">
        <v>0.3007</v>
      </c>
      <c r="D33" s="9">
        <v>0.301</v>
      </c>
      <c r="E33" s="44">
        <v>0.26</v>
      </c>
      <c r="F33" s="9">
        <v>0.195</v>
      </c>
      <c r="G33" s="11">
        <f t="shared" ref="G33:H33" si="82">E33*50</f>
        <v>13</v>
      </c>
      <c r="H33" s="11">
        <f t="shared" si="82"/>
        <v>9.75</v>
      </c>
      <c r="I33" s="20">
        <f t="shared" ref="I33:J33" si="83">(G33-0.0244)/0.1678</f>
        <v>77.32777116</v>
      </c>
      <c r="J33" s="20">
        <f t="shared" si="83"/>
        <v>57.95947557</v>
      </c>
      <c r="K33" s="20">
        <f t="shared" si="70"/>
        <v>67.64362336</v>
      </c>
      <c r="L33" s="20">
        <f t="shared" si="71"/>
        <v>13.69545315</v>
      </c>
      <c r="M33" s="20">
        <f t="shared" ref="M33:N33" si="84">(($U$3-I33)/$U$3)*100</f>
        <v>61.63970484</v>
      </c>
      <c r="N33" s="20">
        <f t="shared" si="84"/>
        <v>71.24781231</v>
      </c>
      <c r="O33" s="14">
        <f t="shared" si="73"/>
        <v>66.44375857</v>
      </c>
      <c r="P33" s="20">
        <f t="shared" si="74"/>
        <v>6.793957946</v>
      </c>
      <c r="Q33" s="20">
        <f t="shared" ref="Q33:R33" si="85">(($R$3-I33)/C33)*0.0244</f>
        <v>-3.527960147</v>
      </c>
      <c r="R33" s="20">
        <f t="shared" si="85"/>
        <v>-1.954389381</v>
      </c>
      <c r="S33" s="20">
        <f t="shared" si="76"/>
        <v>-2.741174764</v>
      </c>
      <c r="T33" s="20">
        <f t="shared" si="77"/>
        <v>1.112682559</v>
      </c>
    </row>
    <row r="34" ht="15.75" customHeight="1">
      <c r="B34" s="23">
        <v>30.0</v>
      </c>
      <c r="C34" s="9">
        <v>0.3007</v>
      </c>
      <c r="D34" s="9">
        <v>0.301</v>
      </c>
      <c r="E34" s="44">
        <v>0.133</v>
      </c>
      <c r="F34" s="9">
        <v>0.079</v>
      </c>
      <c r="G34" s="11">
        <f t="shared" ref="G34:H34" si="86">E34*50</f>
        <v>6.65</v>
      </c>
      <c r="H34" s="11">
        <f t="shared" si="86"/>
        <v>3.95</v>
      </c>
      <c r="I34" s="20">
        <f t="shared" ref="I34:J34" si="87">(G34-0.0244)/0.1678</f>
        <v>39.48510131</v>
      </c>
      <c r="J34" s="20">
        <f t="shared" si="87"/>
        <v>23.39451728</v>
      </c>
      <c r="K34" s="20">
        <f t="shared" si="70"/>
        <v>31.4398093</v>
      </c>
      <c r="L34" s="20">
        <f t="shared" si="71"/>
        <v>11.37776108</v>
      </c>
      <c r="M34" s="20">
        <f t="shared" ref="M34:N34" si="88">(($U$3-I34)/$U$3)*100</f>
        <v>80.41246866</v>
      </c>
      <c r="N34" s="20">
        <f t="shared" si="88"/>
        <v>88.39458871</v>
      </c>
      <c r="O34" s="14">
        <f t="shared" si="73"/>
        <v>84.40352869</v>
      </c>
      <c r="P34" s="20">
        <f t="shared" si="74"/>
        <v>5.644211216</v>
      </c>
      <c r="Q34" s="20">
        <f t="shared" ref="Q34:R34" si="89">(($R$3-I34)/C34)*0.0244</f>
        <v>-0.4572546458</v>
      </c>
      <c r="R34" s="20">
        <f t="shared" si="89"/>
        <v>0.8475540808</v>
      </c>
      <c r="S34" s="20">
        <f t="shared" si="76"/>
        <v>0.1951497175</v>
      </c>
      <c r="T34" s="20">
        <f t="shared" si="77"/>
        <v>0.9226390987</v>
      </c>
    </row>
    <row r="35" ht="15.75" customHeight="1">
      <c r="B35" s="23">
        <v>60.0</v>
      </c>
      <c r="C35" s="9">
        <v>0.3007</v>
      </c>
      <c r="D35" s="9">
        <v>0.301</v>
      </c>
      <c r="E35" s="32">
        <v>0.056</v>
      </c>
      <c r="F35" s="20">
        <v>0.042</v>
      </c>
      <c r="G35" s="11">
        <f t="shared" ref="G35:H35" si="90">E35*50</f>
        <v>2.8</v>
      </c>
      <c r="H35" s="11">
        <f t="shared" si="90"/>
        <v>2.1</v>
      </c>
      <c r="I35" s="20">
        <f t="shared" ref="I35:J35" si="91">(G35-0.0244)/0.1678</f>
        <v>16.54112038</v>
      </c>
      <c r="J35" s="20">
        <f t="shared" si="91"/>
        <v>12.36948749</v>
      </c>
      <c r="K35" s="20">
        <f t="shared" si="70"/>
        <v>14.45530393</v>
      </c>
      <c r="L35" s="20">
        <f t="shared" si="71"/>
        <v>2.94978991</v>
      </c>
      <c r="M35" s="20">
        <f t="shared" ref="M35:N35" si="92">(($U$3-I35)/$U$3)*100</f>
        <v>91.79438059</v>
      </c>
      <c r="N35" s="20">
        <f t="shared" si="92"/>
        <v>93.86381912</v>
      </c>
      <c r="O35" s="14">
        <f t="shared" si="73"/>
        <v>92.82909985</v>
      </c>
      <c r="P35" s="20">
        <f t="shared" si="74"/>
        <v>1.463314019</v>
      </c>
      <c r="Q35" s="20">
        <f t="shared" ref="Q35:R35" si="93">(($R$3-I35)/C35)*0.0244</f>
        <v>1.404511682</v>
      </c>
      <c r="R35" s="20">
        <f t="shared" si="93"/>
        <v>1.741277426</v>
      </c>
      <c r="S35" s="20">
        <f t="shared" si="76"/>
        <v>1.572894554</v>
      </c>
      <c r="T35" s="20">
        <f t="shared" si="77"/>
        <v>0.2381293418</v>
      </c>
    </row>
    <row r="36" ht="15.75" customHeight="1">
      <c r="B36" s="23">
        <v>90.0</v>
      </c>
      <c r="C36" s="9">
        <v>0.3007</v>
      </c>
      <c r="D36" s="9">
        <v>0.301</v>
      </c>
      <c r="E36" s="9">
        <v>0.046</v>
      </c>
      <c r="F36" s="9">
        <v>0.039</v>
      </c>
      <c r="G36" s="11">
        <f t="shared" ref="G36:H36" si="94">E36*50</f>
        <v>2.3</v>
      </c>
      <c r="H36" s="11">
        <f t="shared" si="94"/>
        <v>1.95</v>
      </c>
      <c r="I36" s="20">
        <f t="shared" ref="I36:J36" si="95">(G36-0.0244)/0.1678</f>
        <v>13.5613826</v>
      </c>
      <c r="J36" s="20">
        <f t="shared" si="95"/>
        <v>11.47556615</v>
      </c>
      <c r="K36" s="20">
        <f t="shared" si="70"/>
        <v>12.51847437</v>
      </c>
      <c r="L36" s="20">
        <f t="shared" si="71"/>
        <v>1.474894955</v>
      </c>
      <c r="M36" s="20">
        <f t="shared" ref="M36:N36" si="96">(($U$3-I36)/$U$3)*100</f>
        <v>93.27255097</v>
      </c>
      <c r="N36" s="20">
        <f t="shared" si="96"/>
        <v>94.30727023</v>
      </c>
      <c r="O36" s="14">
        <f t="shared" si="73"/>
        <v>93.7899106</v>
      </c>
      <c r="P36" s="20">
        <f t="shared" si="74"/>
        <v>0.7316570095</v>
      </c>
      <c r="Q36" s="20">
        <f t="shared" ref="Q36:R36" si="97">(($R$3-I36)/C36)*0.0244</f>
        <v>1.646299516</v>
      </c>
      <c r="R36" s="20">
        <f t="shared" si="97"/>
        <v>1.813741482</v>
      </c>
      <c r="S36" s="20">
        <f t="shared" si="76"/>
        <v>1.730020499</v>
      </c>
      <c r="T36" s="20">
        <f t="shared" si="77"/>
        <v>0.1183993489</v>
      </c>
    </row>
    <row r="37" ht="15.75" customHeight="1">
      <c r="B37" s="23">
        <v>120.0</v>
      </c>
      <c r="C37" s="9">
        <v>0.3007</v>
      </c>
      <c r="D37" s="9">
        <v>0.301</v>
      </c>
      <c r="E37" s="9">
        <v>0.04</v>
      </c>
      <c r="F37" s="9">
        <v>0.032</v>
      </c>
      <c r="G37" s="11">
        <f t="shared" ref="G37:H37" si="98">E37*50</f>
        <v>2</v>
      </c>
      <c r="H37" s="11">
        <f t="shared" si="98"/>
        <v>1.6</v>
      </c>
      <c r="I37" s="20">
        <f t="shared" ref="I37:J37" si="99">(G37-0.0244)/0.1678</f>
        <v>11.77353993</v>
      </c>
      <c r="J37" s="20">
        <f t="shared" si="99"/>
        <v>9.389749702</v>
      </c>
      <c r="K37" s="20">
        <f t="shared" si="70"/>
        <v>10.58164482</v>
      </c>
      <c r="L37" s="20">
        <f t="shared" si="71"/>
        <v>1.685594234</v>
      </c>
      <c r="M37" s="20">
        <f t="shared" ref="M37:N37" si="100">(($U$3-I37)/$U$3)*100</f>
        <v>94.1594532</v>
      </c>
      <c r="N37" s="20">
        <f t="shared" si="100"/>
        <v>95.3419895</v>
      </c>
      <c r="O37" s="14">
        <f t="shared" si="73"/>
        <v>94.75072135</v>
      </c>
      <c r="P37" s="20">
        <f t="shared" si="74"/>
        <v>0.8361794395</v>
      </c>
      <c r="Q37" s="20">
        <f t="shared" ref="Q37:R37" si="101">(($R$3-I37)/C37)*0.0244</f>
        <v>1.791372217</v>
      </c>
      <c r="R37" s="20">
        <f t="shared" si="101"/>
        <v>1.982824277</v>
      </c>
      <c r="S37" s="20">
        <f t="shared" si="76"/>
        <v>1.887098247</v>
      </c>
      <c r="T37" s="20">
        <f t="shared" si="77"/>
        <v>0.1353770494</v>
      </c>
    </row>
    <row r="38" ht="15.75" customHeight="1">
      <c r="B38" s="53">
        <v>180.0</v>
      </c>
      <c r="C38" s="57">
        <v>0.3007</v>
      </c>
      <c r="D38" s="57">
        <v>0.301</v>
      </c>
      <c r="E38" s="57">
        <v>0.033</v>
      </c>
      <c r="F38" s="57">
        <v>0.023</v>
      </c>
      <c r="G38" s="58">
        <f t="shared" ref="G38:H38" si="102">E38*50</f>
        <v>1.65</v>
      </c>
      <c r="H38" s="58">
        <f t="shared" si="102"/>
        <v>1.15</v>
      </c>
      <c r="I38" s="59">
        <f t="shared" ref="I38:J38" si="103">(G38-0.0244)/0.1678</f>
        <v>9.68772348</v>
      </c>
      <c r="J38" s="59">
        <f t="shared" si="103"/>
        <v>6.707985697</v>
      </c>
      <c r="K38" s="59">
        <f t="shared" si="70"/>
        <v>8.197854589</v>
      </c>
      <c r="L38" s="59">
        <f t="shared" si="71"/>
        <v>2.106992793</v>
      </c>
      <c r="M38" s="59">
        <f t="shared" ref="M38:N38" si="104">(($U$3-I38)/$U$3)*100</f>
        <v>95.19417246</v>
      </c>
      <c r="N38" s="59">
        <f t="shared" si="104"/>
        <v>96.67234284</v>
      </c>
      <c r="O38" s="55">
        <f t="shared" si="73"/>
        <v>95.93325765</v>
      </c>
      <c r="P38" s="20">
        <f t="shared" si="74"/>
        <v>1.045224299</v>
      </c>
      <c r="Q38" s="20">
        <f t="shared" ref="Q38:R38" si="105">(($R$3-I38)/C38)*0.0244</f>
        <v>1.960623702</v>
      </c>
      <c r="R38" s="20">
        <f t="shared" si="105"/>
        <v>2.200216442</v>
      </c>
      <c r="S38" s="20">
        <f t="shared" si="76"/>
        <v>2.080420072</v>
      </c>
      <c r="T38" s="20">
        <f t="shared" si="77"/>
        <v>0.1694176513</v>
      </c>
    </row>
    <row r="39" ht="15.75" customHeight="1">
      <c r="B39" s="23">
        <v>240.0</v>
      </c>
      <c r="C39" s="9">
        <v>0.3007</v>
      </c>
      <c r="D39" s="9">
        <v>0.301</v>
      </c>
      <c r="E39" s="9">
        <v>0.024</v>
      </c>
      <c r="F39" s="9">
        <v>0.021</v>
      </c>
      <c r="G39" s="11">
        <f t="shared" ref="G39:H39" si="106">E39*50</f>
        <v>1.2</v>
      </c>
      <c r="H39" s="11">
        <f t="shared" si="106"/>
        <v>1.05</v>
      </c>
      <c r="I39" s="20">
        <f t="shared" ref="I39:J39" si="107">(G39-0.0244)/0.1678</f>
        <v>7.005959476</v>
      </c>
      <c r="J39" s="20">
        <f t="shared" si="107"/>
        <v>6.112038141</v>
      </c>
      <c r="K39" s="20">
        <f t="shared" si="70"/>
        <v>6.558998808</v>
      </c>
      <c r="L39" s="20">
        <f t="shared" si="71"/>
        <v>0.6320978378</v>
      </c>
      <c r="M39" s="20">
        <f t="shared" ref="M39:N39" si="108">(($U$3-I39)/$U$3)*100</f>
        <v>96.5245258</v>
      </c>
      <c r="N39" s="20">
        <f t="shared" si="108"/>
        <v>96.96797692</v>
      </c>
      <c r="O39" s="14">
        <f t="shared" si="73"/>
        <v>96.74625136</v>
      </c>
      <c r="P39" s="20">
        <f t="shared" si="74"/>
        <v>0.3135672898</v>
      </c>
      <c r="Q39" s="20">
        <f t="shared" ref="Q39:R39" si="109">(($R$3-I39)/C39)*0.0244</f>
        <v>2.178232753</v>
      </c>
      <c r="R39" s="20">
        <f t="shared" si="109"/>
        <v>2.248525812</v>
      </c>
      <c r="S39" s="20">
        <f t="shared" si="76"/>
        <v>2.213379282</v>
      </c>
      <c r="T39" s="20">
        <f t="shared" si="77"/>
        <v>0.04970469866</v>
      </c>
    </row>
    <row r="40" ht="15.75" customHeight="1">
      <c r="B40" s="23">
        <v>300.0</v>
      </c>
      <c r="C40" s="9">
        <v>0.3007</v>
      </c>
      <c r="D40" s="9">
        <v>0.301</v>
      </c>
      <c r="E40" s="9">
        <v>0.021</v>
      </c>
      <c r="F40" s="9">
        <v>0.017</v>
      </c>
      <c r="G40" s="11">
        <f t="shared" ref="G40:H40" si="110">E40*50</f>
        <v>1.05</v>
      </c>
      <c r="H40" s="11">
        <f t="shared" si="110"/>
        <v>0.85</v>
      </c>
      <c r="I40" s="20">
        <f t="shared" ref="I40:J40" si="111">(G40-0.0244)/0.1678</f>
        <v>6.112038141</v>
      </c>
      <c r="J40" s="20">
        <f t="shared" si="111"/>
        <v>4.920143027</v>
      </c>
      <c r="K40" s="20">
        <f t="shared" si="70"/>
        <v>5.516090584</v>
      </c>
      <c r="L40" s="20">
        <f t="shared" si="71"/>
        <v>0.842797117</v>
      </c>
      <c r="M40" s="20">
        <f t="shared" ref="M40:N40" si="112">(($U$3-I40)/$U$3)*100</f>
        <v>96.96797692</v>
      </c>
      <c r="N40" s="20">
        <f t="shared" si="112"/>
        <v>97.55924507</v>
      </c>
      <c r="O40" s="14">
        <f t="shared" si="73"/>
        <v>97.26361099</v>
      </c>
      <c r="P40" s="20">
        <f t="shared" si="74"/>
        <v>0.4180897197</v>
      </c>
      <c r="Q40" s="20">
        <f t="shared" ref="Q40:R40" si="113">(($R$3-I40)/C40)*0.0244</f>
        <v>2.250769103</v>
      </c>
      <c r="R40" s="20">
        <f t="shared" si="113"/>
        <v>2.345144552</v>
      </c>
      <c r="S40" s="20">
        <f t="shared" si="76"/>
        <v>2.297956828</v>
      </c>
      <c r="T40" s="20">
        <f t="shared" si="77"/>
        <v>0.06673351969</v>
      </c>
    </row>
    <row r="41" ht="15.75" customHeight="1">
      <c r="B41" s="23">
        <v>360.0</v>
      </c>
      <c r="C41" s="9">
        <v>0.3007</v>
      </c>
      <c r="D41" s="9">
        <v>0.301</v>
      </c>
      <c r="E41" s="20">
        <v>0.022</v>
      </c>
      <c r="F41" s="9">
        <v>0.019</v>
      </c>
      <c r="G41" s="11">
        <f t="shared" ref="G41:H41" si="114">E41*50</f>
        <v>1.1</v>
      </c>
      <c r="H41" s="11">
        <f t="shared" si="114"/>
        <v>0.95</v>
      </c>
      <c r="I41" s="20">
        <f t="shared" ref="I41:J41" si="115">(G41-0.0244)/0.1678</f>
        <v>6.410011919</v>
      </c>
      <c r="J41" s="20">
        <f t="shared" si="115"/>
        <v>5.516090584</v>
      </c>
      <c r="K41" s="43">
        <f t="shared" si="70"/>
        <v>5.963051251</v>
      </c>
      <c r="L41" s="11">
        <f t="shared" si="71"/>
        <v>0.6320978378</v>
      </c>
      <c r="M41" s="20">
        <f t="shared" ref="M41:N41" si="116">(($U$3-I41)/$U$3)*100</f>
        <v>96.82015988</v>
      </c>
      <c r="N41" s="20">
        <f t="shared" si="116"/>
        <v>97.26361099</v>
      </c>
      <c r="O41" s="14">
        <f t="shared" si="73"/>
        <v>97.04188544</v>
      </c>
      <c r="P41" s="20">
        <f t="shared" si="74"/>
        <v>0.3135672898</v>
      </c>
      <c r="Q41" s="20">
        <f t="shared" ref="Q41:R41" si="117">(($R$3-I41)/C41)*0.0244</f>
        <v>2.22659032</v>
      </c>
      <c r="R41" s="20">
        <f t="shared" si="117"/>
        <v>2.296835182</v>
      </c>
      <c r="S41" s="20">
        <f t="shared" si="76"/>
        <v>2.261712751</v>
      </c>
      <c r="T41" s="20">
        <f t="shared" si="77"/>
        <v>0.0496706183</v>
      </c>
    </row>
    <row r="42" ht="15.75" customHeight="1">
      <c r="B42" s="23">
        <v>480.0</v>
      </c>
      <c r="C42" s="9">
        <v>0.3007</v>
      </c>
      <c r="D42" s="9">
        <v>0.301</v>
      </c>
      <c r="E42" s="20">
        <v>0.021</v>
      </c>
      <c r="F42" s="9">
        <v>0.016</v>
      </c>
      <c r="G42" s="11">
        <f t="shared" ref="G42:H42" si="118">E42*50</f>
        <v>1.05</v>
      </c>
      <c r="H42" s="11">
        <f t="shared" si="118"/>
        <v>0.8</v>
      </c>
      <c r="I42" s="20">
        <f t="shared" ref="I42:J42" si="119">(G42-0.0244)/0.1678</f>
        <v>6.112038141</v>
      </c>
      <c r="J42" s="20">
        <f t="shared" si="119"/>
        <v>4.622169249</v>
      </c>
      <c r="K42" s="43">
        <f t="shared" si="70"/>
        <v>5.367103695</v>
      </c>
      <c r="L42" s="11">
        <f t="shared" si="71"/>
        <v>1.053496396</v>
      </c>
      <c r="M42" s="20">
        <f t="shared" ref="M42:N42" si="120">(($U$3-I42)/$U$3)*100</f>
        <v>96.96797692</v>
      </c>
      <c r="N42" s="20">
        <f t="shared" si="120"/>
        <v>97.70706211</v>
      </c>
      <c r="O42" s="14">
        <f t="shared" si="73"/>
        <v>97.33751951</v>
      </c>
      <c r="P42" s="20">
        <f t="shared" si="74"/>
        <v>0.5226121497</v>
      </c>
      <c r="Q42" s="20">
        <f t="shared" ref="Q42:R42" si="121">(($R$3-I42)/C42)*0.0244</f>
        <v>2.250769103</v>
      </c>
      <c r="R42" s="20">
        <f t="shared" si="121"/>
        <v>2.369299237</v>
      </c>
      <c r="S42" s="20">
        <f t="shared" si="76"/>
        <v>2.31003417</v>
      </c>
      <c r="T42" s="20">
        <f t="shared" si="77"/>
        <v>0.08381346126</v>
      </c>
    </row>
    <row r="43" ht="15.75" customHeight="1">
      <c r="B43" s="23">
        <v>1440.0</v>
      </c>
      <c r="C43" s="9">
        <v>0.3007</v>
      </c>
      <c r="D43" s="9">
        <v>0.301</v>
      </c>
      <c r="E43" s="9">
        <v>0.017</v>
      </c>
      <c r="F43" s="9">
        <v>0.015</v>
      </c>
      <c r="G43" s="11">
        <f t="shared" ref="G43:H43" si="122">E43*50</f>
        <v>0.85</v>
      </c>
      <c r="H43" s="11">
        <f t="shared" si="122"/>
        <v>0.75</v>
      </c>
      <c r="I43" s="20">
        <f t="shared" ref="I43:J43" si="123">(G43-0.0244)/0.1678</f>
        <v>4.920143027</v>
      </c>
      <c r="J43" s="20">
        <f t="shared" si="123"/>
        <v>4.324195471</v>
      </c>
      <c r="K43" s="20">
        <f t="shared" si="70"/>
        <v>4.622169249</v>
      </c>
      <c r="L43" s="20">
        <f t="shared" si="71"/>
        <v>0.4213985585</v>
      </c>
      <c r="M43" s="20">
        <f t="shared" ref="M43:N43" si="124">(($U$3-I43)/$U$3)*100</f>
        <v>97.55924507</v>
      </c>
      <c r="N43" s="20">
        <f t="shared" si="124"/>
        <v>97.85487914</v>
      </c>
      <c r="O43" s="14">
        <f t="shared" si="73"/>
        <v>97.70706211</v>
      </c>
      <c r="P43" s="20">
        <f t="shared" si="74"/>
        <v>0.2090448599</v>
      </c>
      <c r="Q43" s="20">
        <f t="shared" ref="Q43:R43" si="125">(($R$3-I43)/C43)*0.001</f>
        <v>0.09620837038</v>
      </c>
      <c r="R43" s="20">
        <f t="shared" si="125"/>
        <v>0.09809237385</v>
      </c>
      <c r="S43" s="20">
        <f t="shared" si="76"/>
        <v>0.09715037211</v>
      </c>
      <c r="T43" s="20">
        <f t="shared" si="77"/>
        <v>0.001332191632</v>
      </c>
    </row>
    <row r="44" ht="15.75" customHeight="1"/>
    <row r="45" ht="15.75" customHeight="1"/>
    <row r="46" ht="15.75" customHeight="1"/>
    <row r="47" ht="15.75" customHeight="1"/>
    <row r="48" ht="15.75" customHeight="1">
      <c r="B48" s="26" t="s">
        <v>67</v>
      </c>
      <c r="C48" s="27"/>
      <c r="D48" s="8"/>
      <c r="F48" s="28" t="s">
        <v>31</v>
      </c>
      <c r="Y48" s="1" t="s">
        <v>33</v>
      </c>
    </row>
    <row r="49" ht="15.75" customHeight="1"/>
    <row r="50" ht="15.75" customHeight="1">
      <c r="B50" s="15" t="s">
        <v>34</v>
      </c>
      <c r="C50" s="7" t="s">
        <v>5</v>
      </c>
      <c r="D50" s="8"/>
      <c r="E50" s="30" t="s">
        <v>6</v>
      </c>
      <c r="F50" s="8"/>
      <c r="G50" s="7" t="s">
        <v>36</v>
      </c>
      <c r="H50" s="8"/>
      <c r="I50" s="7" t="s">
        <v>37</v>
      </c>
      <c r="J50" s="8"/>
      <c r="K50" s="9" t="s">
        <v>7</v>
      </c>
      <c r="L50" s="9" t="s">
        <v>38</v>
      </c>
      <c r="M50" s="7" t="s">
        <v>9</v>
      </c>
      <c r="N50" s="8"/>
      <c r="O50" s="31" t="s">
        <v>10</v>
      </c>
      <c r="P50" s="9" t="s">
        <v>38</v>
      </c>
      <c r="Q50" s="7" t="s">
        <v>11</v>
      </c>
      <c r="R50" s="8"/>
      <c r="S50" s="9" t="s">
        <v>12</v>
      </c>
      <c r="T50" s="9" t="s">
        <v>38</v>
      </c>
    </row>
    <row r="51" ht="15.75" customHeight="1">
      <c r="B51" s="23"/>
      <c r="C51" s="9" t="s">
        <v>15</v>
      </c>
      <c r="D51" s="9" t="s">
        <v>16</v>
      </c>
      <c r="E51" s="32" t="s">
        <v>17</v>
      </c>
      <c r="F51" s="9" t="s">
        <v>18</v>
      </c>
      <c r="G51" s="9" t="s">
        <v>19</v>
      </c>
      <c r="H51" s="9" t="s">
        <v>20</v>
      </c>
      <c r="I51" s="9" t="s">
        <v>21</v>
      </c>
      <c r="J51" s="9" t="s">
        <v>22</v>
      </c>
      <c r="K51" s="9"/>
      <c r="L51" s="9"/>
      <c r="M51" s="9"/>
      <c r="N51" s="9"/>
      <c r="O51" s="31"/>
      <c r="P51" s="9"/>
      <c r="Q51" s="9">
        <v>1.0</v>
      </c>
      <c r="R51" s="9">
        <v>2.0</v>
      </c>
      <c r="S51" s="9"/>
      <c r="T51" s="9"/>
    </row>
    <row r="52" ht="15.75" customHeight="1">
      <c r="B52" s="23">
        <v>0.0</v>
      </c>
      <c r="C52" s="9">
        <v>0.6035</v>
      </c>
      <c r="D52" s="9">
        <v>0.6006</v>
      </c>
      <c r="E52" s="32">
        <v>0.677</v>
      </c>
      <c r="F52" s="32">
        <v>0.677</v>
      </c>
      <c r="G52" s="11">
        <f t="shared" ref="G52:H52" si="126">E52*50</f>
        <v>33.85</v>
      </c>
      <c r="H52" s="11">
        <f t="shared" si="126"/>
        <v>33.85</v>
      </c>
      <c r="I52" s="20">
        <f t="shared" ref="I52:J52" si="127">(G52-0.0244)/0.1678</f>
        <v>201.5828367</v>
      </c>
      <c r="J52" s="20">
        <f t="shared" si="127"/>
        <v>201.5828367</v>
      </c>
      <c r="K52" s="20">
        <f t="shared" ref="K52:K65" si="132">(I52+J52)/2</f>
        <v>201.5828367</v>
      </c>
      <c r="L52" s="20">
        <f t="shared" ref="L52:L65" si="133">STDEV(I52:J52)</f>
        <v>0</v>
      </c>
      <c r="M52" s="20">
        <f t="shared" ref="M52:N52" si="128">(($U$3-I52)/$U$3)*100</f>
        <v>0</v>
      </c>
      <c r="N52" s="20">
        <f t="shared" si="128"/>
        <v>0</v>
      </c>
      <c r="O52" s="66">
        <f t="shared" ref="O52:O59" si="135">(M52+N52)/2</f>
        <v>0</v>
      </c>
      <c r="P52" s="20">
        <f t="shared" ref="P52:P65" si="136">STDEV(M52:N52)</f>
        <v>0</v>
      </c>
      <c r="Q52" s="20">
        <f t="shared" ref="Q52:R52" si="129">(($R$3-I52)/C52)*0.0244</f>
        <v>-6.781576165</v>
      </c>
      <c r="R52" s="20">
        <f t="shared" si="129"/>
        <v>-6.814321039</v>
      </c>
      <c r="S52" s="20">
        <f t="shared" ref="S52:S65" si="138">(Q52+R52)/2</f>
        <v>-6.797948602</v>
      </c>
      <c r="T52" s="20">
        <f t="shared" ref="T52:T65" si="139">STDEV(Q52:R52)</f>
        <v>0.02315412193</v>
      </c>
    </row>
    <row r="53" ht="15.75" customHeight="1">
      <c r="B53" s="23">
        <v>1.0</v>
      </c>
      <c r="C53" s="9">
        <v>0.6035</v>
      </c>
      <c r="D53" s="9">
        <v>0.6006</v>
      </c>
      <c r="E53" s="32">
        <v>0.561</v>
      </c>
      <c r="F53" s="9">
        <v>0.544</v>
      </c>
      <c r="G53" s="11">
        <f t="shared" ref="G53:H53" si="130">E53*50</f>
        <v>28.05</v>
      </c>
      <c r="H53" s="11">
        <f t="shared" si="130"/>
        <v>27.2</v>
      </c>
      <c r="I53" s="20">
        <f t="shared" ref="I53:J53" si="131">(G53-0.0244)/0.1678</f>
        <v>167.0178784</v>
      </c>
      <c r="J53" s="20">
        <f t="shared" si="131"/>
        <v>161.9523242</v>
      </c>
      <c r="K53" s="11">
        <f t="shared" si="132"/>
        <v>164.4851013</v>
      </c>
      <c r="L53" s="20">
        <f t="shared" si="133"/>
        <v>3.581887747</v>
      </c>
      <c r="M53" s="20">
        <f t="shared" ref="M53:N53" si="134">(($U$3-I53)/$U$3)*100</f>
        <v>17.14677641</v>
      </c>
      <c r="N53" s="20">
        <f t="shared" si="134"/>
        <v>19.65966605</v>
      </c>
      <c r="O53" s="66">
        <f t="shared" si="135"/>
        <v>18.40322123</v>
      </c>
      <c r="P53" s="20">
        <f t="shared" si="136"/>
        <v>1.776881309</v>
      </c>
      <c r="Q53" s="20">
        <f t="shared" ref="Q53:R53" si="137">(($R$3-I53)/C53)*0.0244</f>
        <v>-5.384086551</v>
      </c>
      <c r="R53" s="20">
        <f t="shared" si="137"/>
        <v>-5.204290227</v>
      </c>
      <c r="S53" s="20">
        <f t="shared" si="138"/>
        <v>-5.294188389</v>
      </c>
      <c r="T53" s="20">
        <f t="shared" si="139"/>
        <v>0.1271352</v>
      </c>
    </row>
    <row r="54" ht="15.75" customHeight="1">
      <c r="B54" s="23">
        <v>5.0</v>
      </c>
      <c r="C54" s="9">
        <v>0.6035</v>
      </c>
      <c r="D54" s="9">
        <v>0.6006</v>
      </c>
      <c r="E54" s="32">
        <v>0.535</v>
      </c>
      <c r="F54" s="9">
        <v>0.525</v>
      </c>
      <c r="G54" s="11">
        <f t="shared" ref="G54:H54" si="140">E54*50</f>
        <v>26.75</v>
      </c>
      <c r="H54" s="11">
        <f t="shared" si="140"/>
        <v>26.25</v>
      </c>
      <c r="I54" s="20">
        <f t="shared" ref="I54:J54" si="141">(G54-0.0244)/0.1678</f>
        <v>159.2705602</v>
      </c>
      <c r="J54" s="20">
        <f t="shared" si="141"/>
        <v>156.2908224</v>
      </c>
      <c r="K54" s="11">
        <f t="shared" si="132"/>
        <v>157.7806913</v>
      </c>
      <c r="L54" s="20">
        <f t="shared" si="133"/>
        <v>2.106992793</v>
      </c>
      <c r="M54" s="20">
        <f t="shared" ref="M54:N54" si="142">(($U$3-I54)/$U$3)*100</f>
        <v>20.99001939</v>
      </c>
      <c r="N54" s="20">
        <f t="shared" si="142"/>
        <v>22.46818977</v>
      </c>
      <c r="O54" s="66">
        <f t="shared" si="135"/>
        <v>21.72910458</v>
      </c>
      <c r="P54" s="20">
        <f t="shared" si="136"/>
        <v>1.045224299</v>
      </c>
      <c r="Q54" s="20">
        <f t="shared" ref="Q54:R54" si="143">(($R$3-I54)/C54)*0.0244</f>
        <v>-5.07085612</v>
      </c>
      <c r="R54" s="20">
        <f t="shared" si="143"/>
        <v>-4.974285825</v>
      </c>
      <c r="S54" s="20">
        <f t="shared" si="138"/>
        <v>-5.022570973</v>
      </c>
      <c r="T54" s="20">
        <f t="shared" si="139"/>
        <v>0.06828551043</v>
      </c>
    </row>
    <row r="55" ht="15.75" customHeight="1">
      <c r="B55" s="23">
        <v>10.0</v>
      </c>
      <c r="C55" s="9">
        <v>0.6035</v>
      </c>
      <c r="D55" s="9">
        <v>0.6006</v>
      </c>
      <c r="E55" s="44">
        <v>0.491</v>
      </c>
      <c r="F55" s="9">
        <v>0.464</v>
      </c>
      <c r="G55" s="11">
        <f t="shared" ref="G55:H55" si="144">E55*50</f>
        <v>24.55</v>
      </c>
      <c r="H55" s="11">
        <f t="shared" si="144"/>
        <v>23.2</v>
      </c>
      <c r="I55" s="20">
        <f t="shared" ref="I55:J55" si="145">(G55-0.0244)/0.1678</f>
        <v>146.1597139</v>
      </c>
      <c r="J55" s="20">
        <f t="shared" si="145"/>
        <v>138.1144219</v>
      </c>
      <c r="K55" s="11">
        <f t="shared" si="132"/>
        <v>142.1370679</v>
      </c>
      <c r="L55" s="20">
        <f t="shared" si="133"/>
        <v>5.68888054</v>
      </c>
      <c r="M55" s="20">
        <f t="shared" ref="M55:N55" si="146">(($U$3-I55)/$U$3)*100</f>
        <v>27.49396906</v>
      </c>
      <c r="N55" s="20">
        <f t="shared" si="146"/>
        <v>31.48502909</v>
      </c>
      <c r="O55" s="66">
        <f t="shared" si="135"/>
        <v>29.48949908</v>
      </c>
      <c r="P55" s="20">
        <f t="shared" si="136"/>
        <v>2.822105608</v>
      </c>
      <c r="Q55" s="20">
        <f t="shared" ref="Q55:R55" si="147">(($R$3-I55)/C55)*0.0244</f>
        <v>-4.540773853</v>
      </c>
      <c r="R55" s="20">
        <f t="shared" si="147"/>
        <v>-4.235850641</v>
      </c>
      <c r="S55" s="20">
        <f t="shared" si="138"/>
        <v>-4.388312247</v>
      </c>
      <c r="T55" s="20">
        <f t="shared" si="139"/>
        <v>0.2156132708</v>
      </c>
    </row>
    <row r="56" ht="15.75" customHeight="1">
      <c r="B56" s="23">
        <v>30.0</v>
      </c>
      <c r="C56" s="9">
        <v>0.6035</v>
      </c>
      <c r="D56" s="9">
        <v>0.6006</v>
      </c>
      <c r="E56" s="44">
        <v>0.388</v>
      </c>
      <c r="F56" s="9">
        <v>0.349</v>
      </c>
      <c r="G56" s="11">
        <f t="shared" ref="G56:H56" si="148">E56*50</f>
        <v>19.4</v>
      </c>
      <c r="H56" s="11">
        <f t="shared" si="148"/>
        <v>17.45</v>
      </c>
      <c r="I56" s="20">
        <f t="shared" ref="I56:J56" si="149">(G56-0.0244)/0.1678</f>
        <v>115.4684148</v>
      </c>
      <c r="J56" s="20">
        <f t="shared" si="149"/>
        <v>103.8474374</v>
      </c>
      <c r="K56" s="11">
        <f t="shared" si="132"/>
        <v>109.6579261</v>
      </c>
      <c r="L56" s="20">
        <f t="shared" si="133"/>
        <v>8.217271891</v>
      </c>
      <c r="M56" s="20">
        <f t="shared" ref="M56:N56" si="150">(($U$3-I56)/$U$3)*100</f>
        <v>42.71912398</v>
      </c>
      <c r="N56" s="20">
        <f t="shared" si="150"/>
        <v>48.48398846</v>
      </c>
      <c r="O56" s="66">
        <f t="shared" si="135"/>
        <v>45.60155622</v>
      </c>
      <c r="P56" s="20">
        <f t="shared" si="136"/>
        <v>4.076374767</v>
      </c>
      <c r="Q56" s="20">
        <f t="shared" ref="Q56:R56" si="151">(($R$3-I56)/C56)*0.0244</f>
        <v>-3.299899454</v>
      </c>
      <c r="R56" s="20">
        <f t="shared" si="151"/>
        <v>-2.843718737</v>
      </c>
      <c r="S56" s="20">
        <f t="shared" si="138"/>
        <v>-3.071809095</v>
      </c>
      <c r="T56" s="20">
        <f t="shared" si="139"/>
        <v>0.3225684789</v>
      </c>
    </row>
    <row r="57" ht="15.75" customHeight="1">
      <c r="B57" s="23">
        <v>60.0</v>
      </c>
      <c r="C57" s="9">
        <v>0.6035</v>
      </c>
      <c r="D57" s="9">
        <v>0.6006</v>
      </c>
      <c r="E57" s="32">
        <v>0.288</v>
      </c>
      <c r="F57" s="20">
        <v>0.243</v>
      </c>
      <c r="G57" s="11">
        <f t="shared" ref="G57:H57" si="152">E57*50</f>
        <v>14.4</v>
      </c>
      <c r="H57" s="11">
        <f t="shared" si="152"/>
        <v>12.15</v>
      </c>
      <c r="I57" s="20">
        <f t="shared" ref="I57:J57" si="153">(G57-0.0244)/0.1678</f>
        <v>85.67103695</v>
      </c>
      <c r="J57" s="20">
        <f t="shared" si="153"/>
        <v>72.26221692</v>
      </c>
      <c r="K57" s="11">
        <f t="shared" si="132"/>
        <v>78.96662694</v>
      </c>
      <c r="L57" s="20">
        <f t="shared" si="133"/>
        <v>9.481467567</v>
      </c>
      <c r="M57" s="20">
        <f t="shared" ref="M57:N57" si="154">(($U$3-I57)/$U$3)*100</f>
        <v>57.50082778</v>
      </c>
      <c r="N57" s="20">
        <f t="shared" si="154"/>
        <v>64.15259448</v>
      </c>
      <c r="O57" s="66">
        <f t="shared" si="135"/>
        <v>60.82671113</v>
      </c>
      <c r="P57" s="20">
        <f t="shared" si="136"/>
        <v>4.703509347</v>
      </c>
      <c r="Q57" s="20">
        <f t="shared" ref="Q57:R57" si="155">(($R$3-I57)/C57)*0.0244</f>
        <v>-2.095167028</v>
      </c>
      <c r="R57" s="20">
        <f t="shared" si="155"/>
        <v>-1.560536285</v>
      </c>
      <c r="S57" s="20">
        <f t="shared" si="138"/>
        <v>-1.827851657</v>
      </c>
      <c r="T57" s="20">
        <f t="shared" si="139"/>
        <v>0.3780410238</v>
      </c>
    </row>
    <row r="58" ht="15.75" customHeight="1">
      <c r="B58" s="23">
        <v>90.0</v>
      </c>
      <c r="C58" s="9">
        <v>0.6035</v>
      </c>
      <c r="D58" s="9">
        <v>0.6006</v>
      </c>
      <c r="E58" s="9">
        <v>0.241</v>
      </c>
      <c r="F58" s="9">
        <v>0.202</v>
      </c>
      <c r="G58" s="11">
        <f t="shared" ref="G58:H58" si="156">E58*50</f>
        <v>12.05</v>
      </c>
      <c r="H58" s="11">
        <f t="shared" si="156"/>
        <v>10.1</v>
      </c>
      <c r="I58" s="20">
        <f t="shared" ref="I58:J58" si="157">(G58-0.0244)/0.1678</f>
        <v>71.66626937</v>
      </c>
      <c r="J58" s="20">
        <f t="shared" si="157"/>
        <v>60.04529201</v>
      </c>
      <c r="K58" s="11">
        <f t="shared" si="132"/>
        <v>65.85578069</v>
      </c>
      <c r="L58" s="20">
        <f t="shared" si="133"/>
        <v>8.217271891</v>
      </c>
      <c r="M58" s="20">
        <f t="shared" ref="M58:N58" si="158">(($U$3-I58)/$U$3)*100</f>
        <v>64.44822856</v>
      </c>
      <c r="N58" s="20">
        <f t="shared" si="158"/>
        <v>70.21309304</v>
      </c>
      <c r="O58" s="66">
        <f t="shared" si="135"/>
        <v>67.3306608</v>
      </c>
      <c r="P58" s="20">
        <f t="shared" si="136"/>
        <v>4.076374767</v>
      </c>
      <c r="Q58" s="20">
        <f t="shared" ref="Q58:R58" si="159">(($R$3-I58)/C58)*0.0244</f>
        <v>-1.528942788</v>
      </c>
      <c r="R58" s="20">
        <f t="shared" si="159"/>
        <v>-1.064210998</v>
      </c>
      <c r="S58" s="20">
        <f t="shared" si="138"/>
        <v>-1.296576893</v>
      </c>
      <c r="T58" s="20">
        <f t="shared" si="139"/>
        <v>0.3286150005</v>
      </c>
    </row>
    <row r="59" ht="15.75" customHeight="1">
      <c r="B59" s="23">
        <v>120.0</v>
      </c>
      <c r="C59" s="9">
        <v>0.6035</v>
      </c>
      <c r="D59" s="9">
        <v>0.6006</v>
      </c>
      <c r="E59" s="9">
        <v>0.197</v>
      </c>
      <c r="F59" s="9">
        <v>0.161</v>
      </c>
      <c r="G59" s="11">
        <f t="shared" ref="G59:H59" si="160">E59*50</f>
        <v>9.85</v>
      </c>
      <c r="H59" s="11">
        <f t="shared" si="160"/>
        <v>8.05</v>
      </c>
      <c r="I59" s="20">
        <f t="shared" ref="I59:J59" si="161">(G59-0.0244)/0.1678</f>
        <v>58.55542312</v>
      </c>
      <c r="J59" s="20">
        <f t="shared" si="161"/>
        <v>47.8283671</v>
      </c>
      <c r="K59" s="11">
        <f t="shared" si="132"/>
        <v>53.19189511</v>
      </c>
      <c r="L59" s="20">
        <f t="shared" si="133"/>
        <v>7.585174053</v>
      </c>
      <c r="M59" s="20">
        <f t="shared" ref="M59:N59" si="162">(($U$3-I59)/$U$3)*100</f>
        <v>70.95217823</v>
      </c>
      <c r="N59" s="20">
        <f t="shared" si="162"/>
        <v>76.2735916</v>
      </c>
      <c r="O59" s="66">
        <f t="shared" si="135"/>
        <v>73.61288492</v>
      </c>
      <c r="P59" s="20">
        <f t="shared" si="136"/>
        <v>3.762807478</v>
      </c>
      <c r="Q59" s="20">
        <f t="shared" ref="Q59:R59" si="163">(($R$3-I59)/C59)*0.0244</f>
        <v>-0.9988605206</v>
      </c>
      <c r="R59" s="20">
        <f t="shared" si="163"/>
        <v>-0.5678857098</v>
      </c>
      <c r="S59" s="20">
        <f t="shared" si="138"/>
        <v>-0.7833731152</v>
      </c>
      <c r="T59" s="20">
        <f t="shared" si="139"/>
        <v>0.3047452112</v>
      </c>
    </row>
    <row r="60" ht="15.75" customHeight="1">
      <c r="B60" s="23">
        <v>180.0</v>
      </c>
      <c r="C60" s="9">
        <v>0.6035</v>
      </c>
      <c r="D60" s="9">
        <v>0.6006</v>
      </c>
      <c r="E60" s="9">
        <v>0.142</v>
      </c>
      <c r="F60" s="9">
        <v>0.112</v>
      </c>
      <c r="G60" s="11">
        <f t="shared" ref="G60:H60" si="164">E60*50</f>
        <v>7.1</v>
      </c>
      <c r="H60" s="11">
        <f t="shared" si="164"/>
        <v>5.6</v>
      </c>
      <c r="I60" s="20">
        <f t="shared" ref="I60:J60" si="165">(G60-0.0244)/0.1678</f>
        <v>42.16686532</v>
      </c>
      <c r="J60" s="20">
        <f t="shared" si="165"/>
        <v>33.22765197</v>
      </c>
      <c r="K60" s="11">
        <f t="shared" si="132"/>
        <v>37.69725864</v>
      </c>
      <c r="L60" s="20">
        <f t="shared" si="133"/>
        <v>6.320978378</v>
      </c>
      <c r="M60" s="20">
        <f t="shared" ref="M60:N60" si="166">(($U$3-I60)/$U$3)*100</f>
        <v>79.08211532</v>
      </c>
      <c r="N60" s="20">
        <f t="shared" si="166"/>
        <v>83.51662646</v>
      </c>
      <c r="O60" s="66">
        <v>82.0</v>
      </c>
      <c r="P60" s="20">
        <f t="shared" si="136"/>
        <v>3.135672898</v>
      </c>
      <c r="Q60" s="20">
        <f t="shared" ref="Q60:R60" si="167">(($R$3-I60)/C60)*0.0244</f>
        <v>-0.3362576863</v>
      </c>
      <c r="R60" s="20">
        <f t="shared" si="167"/>
        <v>0.02528353649</v>
      </c>
      <c r="S60" s="20">
        <f t="shared" si="138"/>
        <v>-0.1554870749</v>
      </c>
      <c r="T60" s="20">
        <f t="shared" si="139"/>
        <v>0.2556482503</v>
      </c>
    </row>
    <row r="61" ht="15.75" customHeight="1">
      <c r="B61" s="23">
        <v>240.0</v>
      </c>
      <c r="C61" s="9">
        <v>0.6035</v>
      </c>
      <c r="D61" s="9">
        <v>0.6006</v>
      </c>
      <c r="E61" s="9">
        <v>0.119</v>
      </c>
      <c r="F61" s="20">
        <v>0.091</v>
      </c>
      <c r="G61" s="11">
        <f t="shared" ref="G61:H61" si="168">E61*50</f>
        <v>5.95</v>
      </c>
      <c r="H61" s="11">
        <f t="shared" si="168"/>
        <v>4.55</v>
      </c>
      <c r="I61" s="20">
        <f t="shared" ref="I61:J61" si="169">(G61-0.0244)/0.1678</f>
        <v>35.31346841</v>
      </c>
      <c r="J61" s="20">
        <f t="shared" si="169"/>
        <v>26.97020262</v>
      </c>
      <c r="K61" s="11">
        <f t="shared" si="132"/>
        <v>31.14183552</v>
      </c>
      <c r="L61" s="20">
        <f t="shared" si="133"/>
        <v>5.899579819</v>
      </c>
      <c r="M61" s="20">
        <f t="shared" ref="M61:N61" si="170">(($U$3-I61)/$U$3)*100</f>
        <v>82.48190719</v>
      </c>
      <c r="N61" s="20">
        <f t="shared" si="170"/>
        <v>86.62078426</v>
      </c>
      <c r="O61" s="66">
        <f t="shared" ref="O61:O65" si="175">(M61+N61)/2</f>
        <v>84.55134573</v>
      </c>
      <c r="P61" s="20">
        <f t="shared" si="136"/>
        <v>2.926628038</v>
      </c>
      <c r="Q61" s="20">
        <f t="shared" ref="Q61:R61" si="171">(($R$3-I61)/C61)*0.0244</f>
        <v>-0.05916922837</v>
      </c>
      <c r="R61" s="20">
        <f t="shared" si="171"/>
        <v>0.2794989278</v>
      </c>
      <c r="S61" s="20">
        <f t="shared" si="138"/>
        <v>0.1101648497</v>
      </c>
      <c r="T61" s="20">
        <f t="shared" si="139"/>
        <v>0.2394745498</v>
      </c>
    </row>
    <row r="62" ht="15.75" customHeight="1">
      <c r="B62" s="23">
        <v>300.0</v>
      </c>
      <c r="C62" s="9">
        <v>0.6035</v>
      </c>
      <c r="D62" s="9">
        <v>0.6006</v>
      </c>
      <c r="E62" s="9">
        <v>0.098</v>
      </c>
      <c r="F62" s="9">
        <v>0.076</v>
      </c>
      <c r="G62" s="11">
        <f t="shared" ref="G62:H62" si="172">E62*50</f>
        <v>4.9</v>
      </c>
      <c r="H62" s="11">
        <f t="shared" si="172"/>
        <v>3.8</v>
      </c>
      <c r="I62" s="20">
        <f t="shared" ref="I62:J62" si="173">(G62-0.0244)/0.1678</f>
        <v>29.05601907</v>
      </c>
      <c r="J62" s="20">
        <f t="shared" si="173"/>
        <v>22.50059595</v>
      </c>
      <c r="K62" s="11">
        <f t="shared" si="132"/>
        <v>25.77830751</v>
      </c>
      <c r="L62" s="20">
        <f t="shared" si="133"/>
        <v>4.635384144</v>
      </c>
      <c r="M62" s="20">
        <f t="shared" ref="M62:N62" si="174">(($U$3-I62)/$U$3)*100</f>
        <v>85.58606499</v>
      </c>
      <c r="N62" s="20">
        <f t="shared" si="174"/>
        <v>88.83803983</v>
      </c>
      <c r="O62" s="66">
        <f t="shared" si="175"/>
        <v>87.21205241</v>
      </c>
      <c r="P62" s="20">
        <f t="shared" si="136"/>
        <v>2.299493459</v>
      </c>
      <c r="Q62" s="20">
        <f t="shared" ref="Q62:R62" si="176">(($R$3-I62)/C62)*0.0244</f>
        <v>0.1938245811</v>
      </c>
      <c r="R62" s="20">
        <f t="shared" si="176"/>
        <v>0.4610813501</v>
      </c>
      <c r="S62" s="20">
        <f t="shared" si="138"/>
        <v>0.3274529656</v>
      </c>
      <c r="T62" s="20">
        <f t="shared" si="139"/>
        <v>0.1889790737</v>
      </c>
    </row>
    <row r="63" ht="15.75" customHeight="1">
      <c r="B63" s="53">
        <v>360.0</v>
      </c>
      <c r="C63" s="57">
        <v>0.6035</v>
      </c>
      <c r="D63" s="57">
        <v>0.6006</v>
      </c>
      <c r="E63" s="57">
        <v>0.084</v>
      </c>
      <c r="F63" s="57">
        <v>0.059</v>
      </c>
      <c r="G63" s="58">
        <f t="shared" ref="G63:H63" si="177">E63*50</f>
        <v>4.2</v>
      </c>
      <c r="H63" s="58">
        <f t="shared" si="177"/>
        <v>2.95</v>
      </c>
      <c r="I63" s="59">
        <f t="shared" ref="I63:J63" si="178">(G63-0.0244)/0.1678</f>
        <v>24.88438617</v>
      </c>
      <c r="J63" s="59">
        <f t="shared" si="178"/>
        <v>17.43504172</v>
      </c>
      <c r="K63" s="58">
        <f t="shared" si="132"/>
        <v>21.15971395</v>
      </c>
      <c r="L63" s="58">
        <f t="shared" si="133"/>
        <v>5.267481981</v>
      </c>
      <c r="M63" s="59">
        <f t="shared" ref="M63:N63" si="179">(($U$3-I63)/$U$3)*100</f>
        <v>87.65550352</v>
      </c>
      <c r="N63" s="59">
        <f t="shared" si="179"/>
        <v>91.35092947</v>
      </c>
      <c r="O63" s="70">
        <f t="shared" si="175"/>
        <v>89.5032165</v>
      </c>
      <c r="P63" s="20">
        <f t="shared" si="136"/>
        <v>2.613060748</v>
      </c>
      <c r="Q63" s="20">
        <f t="shared" ref="Q63:R63" si="180">(($R$3-I63)/C63)*0.0244</f>
        <v>0.3624871207</v>
      </c>
      <c r="R63" s="20">
        <f t="shared" si="180"/>
        <v>0.6668747621</v>
      </c>
      <c r="S63" s="20">
        <f t="shared" si="138"/>
        <v>0.5146809414</v>
      </c>
      <c r="T63" s="20">
        <f t="shared" si="139"/>
        <v>0.2152345653</v>
      </c>
    </row>
    <row r="64" ht="15.75" customHeight="1">
      <c r="B64" s="23">
        <v>480.0</v>
      </c>
      <c r="C64" s="9">
        <v>0.6035</v>
      </c>
      <c r="D64" s="9">
        <v>0.6006</v>
      </c>
      <c r="E64" s="9">
        <v>0.066</v>
      </c>
      <c r="F64" s="9">
        <v>0.055</v>
      </c>
      <c r="G64" s="11">
        <f t="shared" ref="G64:H64" si="181">E64*50</f>
        <v>3.3</v>
      </c>
      <c r="H64" s="11">
        <f t="shared" si="181"/>
        <v>2.75</v>
      </c>
      <c r="I64" s="20">
        <f t="shared" ref="I64:J64" si="182">(G64-0.0244)/0.1678</f>
        <v>19.52085816</v>
      </c>
      <c r="J64" s="20">
        <f t="shared" si="182"/>
        <v>16.2431466</v>
      </c>
      <c r="K64" s="11">
        <f t="shared" si="132"/>
        <v>17.88200238</v>
      </c>
      <c r="L64" s="11">
        <f t="shared" si="133"/>
        <v>2.317692072</v>
      </c>
      <c r="M64" s="20">
        <f t="shared" ref="M64:N64" si="183">(($U$3-I64)/$U$3)*100</f>
        <v>90.31621021</v>
      </c>
      <c r="N64" s="20">
        <f t="shared" si="183"/>
        <v>91.94219763</v>
      </c>
      <c r="O64" s="66">
        <f t="shared" si="175"/>
        <v>91.12920392</v>
      </c>
      <c r="P64" s="20">
        <f t="shared" si="136"/>
        <v>1.149746729</v>
      </c>
      <c r="Q64" s="20">
        <f t="shared" ref="Q64:R64" si="184">(($R$3-I64)/C64)*0.0244</f>
        <v>0.5793389574</v>
      </c>
      <c r="R64" s="20">
        <f t="shared" si="184"/>
        <v>0.7152967414</v>
      </c>
      <c r="S64" s="20">
        <f t="shared" si="138"/>
        <v>0.6473178494</v>
      </c>
      <c r="T64" s="20">
        <f t="shared" si="139"/>
        <v>0.09613667103</v>
      </c>
    </row>
    <row r="65" ht="15.75" customHeight="1">
      <c r="B65" s="23">
        <v>1440.0</v>
      </c>
      <c r="C65" s="9">
        <v>0.6035</v>
      </c>
      <c r="D65" s="9">
        <v>0.6006</v>
      </c>
      <c r="E65" s="9">
        <v>0.045</v>
      </c>
      <c r="F65" s="20">
        <v>0.047</v>
      </c>
      <c r="G65" s="11">
        <f t="shared" ref="G65:H65" si="185">E65*50</f>
        <v>2.25</v>
      </c>
      <c r="H65" s="11">
        <f t="shared" si="185"/>
        <v>2.35</v>
      </c>
      <c r="I65" s="20">
        <f t="shared" ref="I65:J65" si="186">(G65-0.0244)/0.1678</f>
        <v>13.26340882</v>
      </c>
      <c r="J65" s="20">
        <f t="shared" si="186"/>
        <v>13.85935638</v>
      </c>
      <c r="K65" s="11">
        <f t="shared" si="132"/>
        <v>13.5613826</v>
      </c>
      <c r="L65" s="20">
        <f t="shared" si="133"/>
        <v>0.4213985585</v>
      </c>
      <c r="M65" s="20">
        <f t="shared" ref="M65:N65" si="187">(($U$3-I65)/$U$3)*100</f>
        <v>93.42036801</v>
      </c>
      <c r="N65" s="20">
        <f t="shared" si="187"/>
        <v>93.12473393</v>
      </c>
      <c r="O65" s="66">
        <f t="shared" si="175"/>
        <v>93.27255097</v>
      </c>
      <c r="P65" s="20">
        <f t="shared" si="136"/>
        <v>0.2090448599</v>
      </c>
      <c r="Q65" s="20">
        <f t="shared" ref="Q65:R65" si="188">(($R$3-I65)/C65)*0.0244</f>
        <v>0.8323327668</v>
      </c>
      <c r="R65" s="20">
        <f t="shared" si="188"/>
        <v>0.8121407</v>
      </c>
      <c r="S65" s="20">
        <f t="shared" si="138"/>
        <v>0.8222367334</v>
      </c>
      <c r="T65" s="20">
        <f t="shared" si="139"/>
        <v>0.0142779474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M6:N6"/>
    <mergeCell ref="Q6:R6"/>
    <mergeCell ref="C2:D2"/>
    <mergeCell ref="R2:S2"/>
    <mergeCell ref="M3:N3"/>
    <mergeCell ref="R3:S3"/>
    <mergeCell ref="B4:D4"/>
    <mergeCell ref="C6:D6"/>
    <mergeCell ref="E6:F6"/>
    <mergeCell ref="M28:N28"/>
    <mergeCell ref="Q28:R28"/>
    <mergeCell ref="B48:D48"/>
    <mergeCell ref="C50:D50"/>
    <mergeCell ref="E50:F50"/>
    <mergeCell ref="G50:H50"/>
    <mergeCell ref="I50:J50"/>
    <mergeCell ref="M50:N50"/>
    <mergeCell ref="Q50:R50"/>
    <mergeCell ref="G6:H6"/>
    <mergeCell ref="I6:J6"/>
    <mergeCell ref="B26:D26"/>
    <mergeCell ref="C28:D28"/>
    <mergeCell ref="E28:F28"/>
    <mergeCell ref="G28:H28"/>
    <mergeCell ref="I28:J2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11.43"/>
    <col customWidth="1" min="4" max="4" width="21.29"/>
    <col customWidth="1" min="5" max="6" width="9.14"/>
    <col customWidth="1" min="7" max="10" width="8.71"/>
    <col customWidth="1" min="11" max="11" width="14.71"/>
    <col customWidth="1" min="12" max="13" width="8.71"/>
    <col customWidth="1" min="14" max="14" width="9.29"/>
    <col customWidth="1" min="15" max="17" width="8.71"/>
    <col customWidth="1" min="18" max="18" width="8.86"/>
    <col customWidth="1" min="19" max="26" width="8.71"/>
  </cols>
  <sheetData>
    <row r="1">
      <c r="B1" s="5"/>
      <c r="E1" s="60"/>
      <c r="F1" s="60"/>
      <c r="J1" s="1" t="s">
        <v>63</v>
      </c>
      <c r="K1" s="61"/>
      <c r="O1" s="1" t="s">
        <v>64</v>
      </c>
      <c r="R1" s="61"/>
      <c r="T1" s="1" t="s">
        <v>64</v>
      </c>
    </row>
    <row r="2">
      <c r="B2" s="5"/>
      <c r="E2" s="60"/>
      <c r="F2" s="62"/>
      <c r="G2" s="23" t="s">
        <v>0</v>
      </c>
      <c r="H2" s="23" t="s">
        <v>25</v>
      </c>
      <c r="I2" s="63" t="s">
        <v>32</v>
      </c>
      <c r="J2" s="63" t="s">
        <v>27</v>
      </c>
      <c r="K2" s="61"/>
      <c r="L2" s="23" t="s">
        <v>0</v>
      </c>
      <c r="M2" s="23" t="s">
        <v>25</v>
      </c>
      <c r="N2" s="63" t="s">
        <v>32</v>
      </c>
      <c r="O2" s="63" t="s">
        <v>27</v>
      </c>
      <c r="Q2" s="23" t="s">
        <v>0</v>
      </c>
      <c r="R2" s="23" t="s">
        <v>25</v>
      </c>
      <c r="S2" s="63" t="s">
        <v>32</v>
      </c>
      <c r="T2" s="63" t="s">
        <v>27</v>
      </c>
      <c r="U2" s="63" t="s">
        <v>32</v>
      </c>
      <c r="V2" s="1" t="s">
        <v>65</v>
      </c>
    </row>
    <row r="3">
      <c r="B3" s="5"/>
      <c r="E3" s="60"/>
      <c r="F3" s="62"/>
      <c r="G3" s="23">
        <v>0.292</v>
      </c>
      <c r="H3" s="23">
        <f t="shared" ref="H3:H6" si="1">G3*50</f>
        <v>14.6</v>
      </c>
      <c r="I3" s="23">
        <v>100.0</v>
      </c>
      <c r="J3" s="34">
        <f t="shared" ref="J3:J6" si="2">(H3-0.0244)/0.1678</f>
        <v>86.86293206</v>
      </c>
      <c r="K3" s="61"/>
      <c r="L3" s="23">
        <v>0.309</v>
      </c>
      <c r="M3" s="23">
        <f t="shared" ref="M3:M6" si="3">L3*50</f>
        <v>15.45</v>
      </c>
      <c r="N3" s="23">
        <v>100.0</v>
      </c>
      <c r="O3" s="34">
        <f t="shared" ref="O3:O6" si="4">(M3-0.0244)/0.1678</f>
        <v>91.92848629</v>
      </c>
      <c r="Q3" s="23">
        <v>0.312</v>
      </c>
      <c r="R3" s="23">
        <f t="shared" ref="R3:R6" si="5">Q3*50</f>
        <v>15.6</v>
      </c>
      <c r="S3" s="23">
        <v>100.0</v>
      </c>
      <c r="T3" s="34">
        <f t="shared" ref="T3:T6" si="6">(R3-0.0244)/0.1678</f>
        <v>92.82240763</v>
      </c>
      <c r="U3" s="23">
        <v>100.0</v>
      </c>
      <c r="V3" s="6">
        <f t="shared" ref="V3:V6" si="7">AVERAGE(J3,O3,T3)</f>
        <v>90.53794199</v>
      </c>
    </row>
    <row r="4">
      <c r="B4" s="64" t="s">
        <v>66</v>
      </c>
      <c r="E4" s="60"/>
      <c r="F4" s="62"/>
      <c r="G4" s="23">
        <v>0.657</v>
      </c>
      <c r="H4" s="23">
        <f t="shared" si="1"/>
        <v>32.85</v>
      </c>
      <c r="I4" s="23">
        <v>200.0</v>
      </c>
      <c r="J4" s="34">
        <f t="shared" si="2"/>
        <v>195.6233611</v>
      </c>
      <c r="K4" s="61"/>
      <c r="L4" s="23">
        <v>0.668</v>
      </c>
      <c r="M4" s="23">
        <f t="shared" si="3"/>
        <v>33.4</v>
      </c>
      <c r="N4" s="23">
        <v>200.0</v>
      </c>
      <c r="O4" s="34">
        <f t="shared" si="4"/>
        <v>198.9010727</v>
      </c>
      <c r="Q4" s="23">
        <v>0.672</v>
      </c>
      <c r="R4" s="23">
        <f t="shared" si="5"/>
        <v>33.6</v>
      </c>
      <c r="S4" s="23">
        <v>200.0</v>
      </c>
      <c r="T4" s="34">
        <f t="shared" si="6"/>
        <v>200.0929678</v>
      </c>
      <c r="U4" s="23">
        <v>200.0</v>
      </c>
      <c r="V4" s="6">
        <f t="shared" si="7"/>
        <v>198.2058006</v>
      </c>
    </row>
    <row r="5">
      <c r="B5" s="5"/>
      <c r="E5" s="60"/>
      <c r="F5" s="62"/>
      <c r="G5" s="23">
        <v>0.875</v>
      </c>
      <c r="H5" s="23">
        <f t="shared" si="1"/>
        <v>43.75</v>
      </c>
      <c r="I5" s="23">
        <v>300.0</v>
      </c>
      <c r="J5" s="34">
        <f t="shared" si="2"/>
        <v>260.5816448</v>
      </c>
      <c r="K5" s="61"/>
      <c r="L5" s="23">
        <v>0.953</v>
      </c>
      <c r="M5" s="23">
        <f t="shared" si="3"/>
        <v>47.65</v>
      </c>
      <c r="N5" s="23">
        <v>300.0</v>
      </c>
      <c r="O5" s="34">
        <f t="shared" si="4"/>
        <v>283.8235995</v>
      </c>
      <c r="Q5" s="23">
        <v>0.916</v>
      </c>
      <c r="R5" s="23">
        <f t="shared" si="5"/>
        <v>45.8</v>
      </c>
      <c r="S5" s="23">
        <v>300.0</v>
      </c>
      <c r="T5" s="34">
        <f t="shared" si="6"/>
        <v>272.7985697</v>
      </c>
      <c r="U5" s="23">
        <v>300.0</v>
      </c>
      <c r="V5" s="6">
        <f t="shared" si="7"/>
        <v>272.4012714</v>
      </c>
    </row>
    <row r="6">
      <c r="B6" s="5"/>
      <c r="E6" s="60"/>
      <c r="F6" s="62"/>
      <c r="G6" s="23">
        <v>1.19</v>
      </c>
      <c r="H6" s="23">
        <f t="shared" si="1"/>
        <v>59.5</v>
      </c>
      <c r="I6" s="23">
        <v>400.0</v>
      </c>
      <c r="J6" s="34">
        <f t="shared" si="2"/>
        <v>354.443385</v>
      </c>
      <c r="K6" s="61"/>
      <c r="L6" s="23">
        <v>1.154</v>
      </c>
      <c r="M6" s="23">
        <f t="shared" si="3"/>
        <v>57.7</v>
      </c>
      <c r="N6" s="23">
        <v>400.0</v>
      </c>
      <c r="O6" s="34">
        <f t="shared" si="4"/>
        <v>343.716329</v>
      </c>
      <c r="Q6" s="23">
        <v>1.325</v>
      </c>
      <c r="R6" s="23">
        <f t="shared" si="5"/>
        <v>66.25</v>
      </c>
      <c r="S6" s="23">
        <v>400.0</v>
      </c>
      <c r="T6" s="34">
        <f t="shared" si="6"/>
        <v>394.6698451</v>
      </c>
      <c r="U6" s="23">
        <v>400.0</v>
      </c>
      <c r="V6" s="6">
        <f t="shared" si="7"/>
        <v>364.2765197</v>
      </c>
    </row>
    <row r="7">
      <c r="B7" s="5"/>
      <c r="E7" s="60"/>
      <c r="F7" s="60"/>
      <c r="G7" s="5"/>
      <c r="H7" s="5"/>
      <c r="I7" s="5"/>
      <c r="J7" s="65"/>
      <c r="K7" s="61"/>
      <c r="M7" s="5"/>
      <c r="N7" s="5"/>
      <c r="O7" s="65"/>
      <c r="R7" s="61"/>
    </row>
    <row r="8">
      <c r="B8" s="5"/>
      <c r="E8" s="60"/>
      <c r="F8" s="60"/>
      <c r="G8" s="5"/>
      <c r="H8" s="5"/>
      <c r="I8" s="5"/>
      <c r="J8" s="65"/>
      <c r="K8" s="61"/>
      <c r="R8" s="61"/>
    </row>
    <row r="9">
      <c r="B9" s="5"/>
      <c r="E9" s="60"/>
      <c r="F9" s="60"/>
      <c r="G9" s="5"/>
      <c r="H9" s="5"/>
      <c r="I9" s="5"/>
      <c r="J9" s="65"/>
      <c r="K9" s="61"/>
      <c r="R9" s="61"/>
    </row>
    <row r="10">
      <c r="B10" s="5"/>
      <c r="E10" s="60"/>
      <c r="F10" s="60"/>
      <c r="G10" s="5"/>
      <c r="H10" s="5"/>
      <c r="I10" s="5"/>
      <c r="J10" s="65"/>
      <c r="K10" s="61"/>
      <c r="Q10" s="5"/>
    </row>
    <row r="11">
      <c r="B11" s="67" t="s">
        <v>68</v>
      </c>
      <c r="E11" s="60"/>
      <c r="F11" s="60"/>
      <c r="K11" s="61"/>
      <c r="L11" s="22" t="s">
        <v>28</v>
      </c>
      <c r="M11" s="8"/>
      <c r="P11" s="5"/>
      <c r="Q11" s="6"/>
      <c r="R11" s="61"/>
    </row>
    <row r="12">
      <c r="B12" s="17" t="s">
        <v>69</v>
      </c>
      <c r="C12" s="27"/>
      <c r="D12" s="8"/>
      <c r="E12" s="60"/>
      <c r="F12" s="60"/>
      <c r="K12" s="61"/>
      <c r="R12" s="61"/>
    </row>
    <row r="13">
      <c r="B13" s="5"/>
      <c r="E13" s="60"/>
      <c r="F13" s="60"/>
      <c r="K13" s="61"/>
      <c r="R13" s="61"/>
    </row>
    <row r="14">
      <c r="B14" s="48" t="s">
        <v>70</v>
      </c>
      <c r="C14" s="49" t="s">
        <v>5</v>
      </c>
      <c r="D14" s="8"/>
      <c r="E14" s="68" t="s">
        <v>6</v>
      </c>
      <c r="F14" s="8"/>
      <c r="G14" s="49" t="s">
        <v>36</v>
      </c>
      <c r="H14" s="8"/>
      <c r="I14" s="49" t="s">
        <v>37</v>
      </c>
      <c r="J14" s="8"/>
      <c r="K14" s="50" t="s">
        <v>71</v>
      </c>
      <c r="L14" s="49" t="s">
        <v>9</v>
      </c>
      <c r="M14" s="8"/>
      <c r="N14" s="51" t="s">
        <v>10</v>
      </c>
      <c r="O14" s="50" t="s">
        <v>57</v>
      </c>
      <c r="P14" s="49" t="s">
        <v>11</v>
      </c>
      <c r="Q14" s="8"/>
      <c r="R14" s="50" t="s">
        <v>72</v>
      </c>
      <c r="S14" s="50" t="s">
        <v>57</v>
      </c>
    </row>
    <row r="15">
      <c r="B15" s="22">
        <v>100.0</v>
      </c>
      <c r="C15" s="43">
        <v>0.1</v>
      </c>
      <c r="D15" s="43">
        <v>0.1</v>
      </c>
      <c r="E15" s="20">
        <v>0.002</v>
      </c>
      <c r="F15" s="20">
        <v>0.003</v>
      </c>
      <c r="G15" s="11">
        <f t="shared" ref="G15:H15" si="8">E15*50</f>
        <v>0.1</v>
      </c>
      <c r="H15" s="11">
        <f t="shared" si="8"/>
        <v>0.15</v>
      </c>
      <c r="I15" s="11">
        <v>1.01</v>
      </c>
      <c r="J15" s="11">
        <v>1.01</v>
      </c>
      <c r="K15" s="11">
        <f t="shared" ref="K15:K18" si="13">(I15+J15)/2</f>
        <v>1.01</v>
      </c>
      <c r="L15" s="11">
        <f t="shared" ref="L15:M15" si="9">(($V$3-I15)/$V$3)*100</f>
        <v>98.8844456</v>
      </c>
      <c r="M15" s="11">
        <f t="shared" si="9"/>
        <v>98.8844456</v>
      </c>
      <c r="N15" s="14">
        <f t="shared" ref="N15:N18" si="15">(L15+M15)/2</f>
        <v>98.8844456</v>
      </c>
      <c r="O15" s="11">
        <f t="shared" ref="O15:O18" si="16">STDEV(L15:M15)</f>
        <v>0</v>
      </c>
      <c r="P15" s="11">
        <f t="shared" ref="P15:Q15" si="10">(($V$3-I15)/C15)*0.02</f>
        <v>17.9055884</v>
      </c>
      <c r="Q15" s="11">
        <f t="shared" si="10"/>
        <v>17.9055884</v>
      </c>
      <c r="R15" s="11">
        <f t="shared" ref="R15:R18" si="18">(P15+Q15)/2</f>
        <v>17.9055884</v>
      </c>
      <c r="S15" s="11">
        <f t="shared" ref="S15:S18" si="19">STDEV(P15:Q15)</f>
        <v>0</v>
      </c>
    </row>
    <row r="16">
      <c r="B16" s="22">
        <v>200.0</v>
      </c>
      <c r="C16" s="43">
        <v>0.1</v>
      </c>
      <c r="D16" s="43">
        <v>0.1</v>
      </c>
      <c r="E16" s="20">
        <v>0.013</v>
      </c>
      <c r="F16" s="20">
        <v>0.017</v>
      </c>
      <c r="G16" s="11">
        <f t="shared" ref="G16:H16" si="11">E16*50</f>
        <v>0.65</v>
      </c>
      <c r="H16" s="11">
        <f t="shared" si="11"/>
        <v>0.85</v>
      </c>
      <c r="I16" s="11">
        <f t="shared" ref="I16:J16" si="12">(G16-0.0244)/0.1678</f>
        <v>3.728247914</v>
      </c>
      <c r="J16" s="11">
        <f t="shared" si="12"/>
        <v>4.920143027</v>
      </c>
      <c r="K16" s="11">
        <f t="shared" si="13"/>
        <v>4.324195471</v>
      </c>
      <c r="L16" s="11">
        <f t="shared" ref="L16:M16" si="14">(($V$4-I16)/$V$4)*100</f>
        <v>98.11900161</v>
      </c>
      <c r="M16" s="11">
        <f t="shared" si="14"/>
        <v>97.51765942</v>
      </c>
      <c r="N16" s="14">
        <f t="shared" si="15"/>
        <v>97.81833051</v>
      </c>
      <c r="O16" s="11">
        <f t="shared" si="16"/>
        <v>0.4252131445</v>
      </c>
      <c r="P16" s="11">
        <f t="shared" ref="P16:Q16" si="17">(($V$4-I16)/C16)*0.02</f>
        <v>38.89551053</v>
      </c>
      <c r="Q16" s="11">
        <f t="shared" si="17"/>
        <v>38.65713151</v>
      </c>
      <c r="R16" s="11">
        <f t="shared" si="18"/>
        <v>38.77632102</v>
      </c>
      <c r="S16" s="11">
        <f t="shared" si="19"/>
        <v>0.1685594234</v>
      </c>
    </row>
    <row r="17">
      <c r="B17" s="22">
        <v>300.0</v>
      </c>
      <c r="C17" s="43">
        <v>0.1</v>
      </c>
      <c r="D17" s="43">
        <v>0.1</v>
      </c>
      <c r="E17" s="20">
        <v>0.105</v>
      </c>
      <c r="F17" s="20">
        <v>0.113</v>
      </c>
      <c r="G17" s="11">
        <f t="shared" ref="G17:H17" si="20">E17*50</f>
        <v>5.25</v>
      </c>
      <c r="H17" s="11">
        <f t="shared" si="20"/>
        <v>5.65</v>
      </c>
      <c r="I17" s="11">
        <f t="shared" ref="I17:J17" si="21">(G17-0.0244)/0.1678</f>
        <v>31.14183552</v>
      </c>
      <c r="J17" s="11">
        <f t="shared" si="21"/>
        <v>33.52562574</v>
      </c>
      <c r="K17" s="11">
        <f t="shared" si="13"/>
        <v>32.33373063</v>
      </c>
      <c r="L17" s="11">
        <f t="shared" ref="L17:M17" si="22">(($V$5-I17)/$V$5)*100</f>
        <v>88.56766146</v>
      </c>
      <c r="M17" s="11">
        <f t="shared" si="22"/>
        <v>87.692559</v>
      </c>
      <c r="N17" s="14">
        <f t="shared" si="15"/>
        <v>88.13011023</v>
      </c>
      <c r="O17" s="11">
        <f t="shared" si="16"/>
        <v>0.6187908836</v>
      </c>
      <c r="P17" s="11">
        <f t="shared" ref="P17:Q17" si="23">(($V$5-I17)/C17)*0.02</f>
        <v>48.25188717</v>
      </c>
      <c r="Q17" s="11">
        <f t="shared" si="23"/>
        <v>47.77512912</v>
      </c>
      <c r="R17" s="11">
        <f t="shared" si="18"/>
        <v>48.01350814</v>
      </c>
      <c r="S17" s="11">
        <f t="shared" si="19"/>
        <v>0.3371188468</v>
      </c>
    </row>
    <row r="18">
      <c r="B18" s="22">
        <v>400.0</v>
      </c>
      <c r="C18" s="43">
        <v>0.1</v>
      </c>
      <c r="D18" s="43">
        <v>0.1</v>
      </c>
      <c r="E18" s="20">
        <v>0.226</v>
      </c>
      <c r="F18" s="20">
        <v>0.138</v>
      </c>
      <c r="G18" s="11">
        <f t="shared" ref="G18:H18" si="24">E18*50</f>
        <v>11.3</v>
      </c>
      <c r="H18" s="11">
        <f t="shared" si="24"/>
        <v>6.9</v>
      </c>
      <c r="I18" s="11">
        <f t="shared" ref="I18:J18" si="25">(G18-0.0244)/0.1678</f>
        <v>67.19666269</v>
      </c>
      <c r="J18" s="11">
        <f t="shared" si="25"/>
        <v>40.9749702</v>
      </c>
      <c r="K18" s="11">
        <f t="shared" si="13"/>
        <v>54.08581645</v>
      </c>
      <c r="L18" s="11">
        <f t="shared" ref="L18:M18" si="26">(($V$6-I18)/$V$6)*100</f>
        <v>81.5533917</v>
      </c>
      <c r="M18" s="11">
        <f t="shared" si="26"/>
        <v>88.75168506</v>
      </c>
      <c r="N18" s="14">
        <f t="shared" si="15"/>
        <v>85.15253838</v>
      </c>
      <c r="O18" s="11">
        <f t="shared" si="16"/>
        <v>5.089962041</v>
      </c>
      <c r="P18" s="11">
        <f t="shared" ref="P18:Q18" si="27">(($V$6-I18)/C18)*0.02</f>
        <v>59.41597139</v>
      </c>
      <c r="Q18" s="11">
        <f t="shared" si="27"/>
        <v>64.66030989</v>
      </c>
      <c r="R18" s="11">
        <f t="shared" si="18"/>
        <v>62.03814064</v>
      </c>
      <c r="S18" s="11">
        <f t="shared" si="19"/>
        <v>3.708307315</v>
      </c>
    </row>
    <row r="19">
      <c r="B19" s="5"/>
      <c r="E19" s="60"/>
      <c r="F19" s="60"/>
      <c r="K19" s="61"/>
      <c r="O19" s="6"/>
      <c r="P19" s="6"/>
      <c r="Q19" s="6"/>
      <c r="R19" s="6"/>
      <c r="S19" s="6"/>
    </row>
    <row r="20">
      <c r="B20" s="5"/>
      <c r="E20" s="60"/>
      <c r="F20" s="60"/>
      <c r="K20" s="61"/>
      <c r="O20" s="6"/>
      <c r="P20" s="6"/>
      <c r="Q20" s="6"/>
      <c r="R20" s="6"/>
      <c r="S20" s="6"/>
    </row>
    <row r="21" ht="15.75" customHeight="1">
      <c r="B21" s="69" t="s">
        <v>68</v>
      </c>
      <c r="E21" s="60"/>
      <c r="F21" s="60"/>
      <c r="K21" s="61"/>
      <c r="O21" s="6"/>
      <c r="P21" s="6"/>
      <c r="Q21" s="6"/>
      <c r="R21" s="6"/>
      <c r="S21" s="6"/>
    </row>
    <row r="22" ht="15.75" customHeight="1">
      <c r="B22" s="17" t="s">
        <v>73</v>
      </c>
      <c r="C22" s="27"/>
      <c r="D22" s="8"/>
      <c r="E22" s="60"/>
      <c r="F22" s="60"/>
      <c r="K22" s="61"/>
      <c r="O22" s="6"/>
      <c r="P22" s="6"/>
      <c r="Q22" s="6"/>
      <c r="R22" s="6"/>
      <c r="S22" s="6"/>
    </row>
    <row r="23" ht="15.75" customHeight="1">
      <c r="B23" s="5"/>
      <c r="E23" s="60"/>
      <c r="F23" s="60"/>
      <c r="K23" s="61"/>
      <c r="O23" s="6"/>
      <c r="P23" s="6"/>
      <c r="Q23" s="6"/>
      <c r="R23" s="6"/>
      <c r="S23" s="6"/>
    </row>
    <row r="24" ht="15.75" customHeight="1">
      <c r="B24" s="48" t="s">
        <v>70</v>
      </c>
      <c r="C24" s="49" t="s">
        <v>5</v>
      </c>
      <c r="D24" s="8"/>
      <c r="E24" s="68" t="s">
        <v>6</v>
      </c>
      <c r="F24" s="8"/>
      <c r="G24" s="49" t="s">
        <v>36</v>
      </c>
      <c r="H24" s="8"/>
      <c r="I24" s="49" t="s">
        <v>37</v>
      </c>
      <c r="J24" s="8"/>
      <c r="K24" s="50" t="s">
        <v>7</v>
      </c>
      <c r="L24" s="49" t="s">
        <v>9</v>
      </c>
      <c r="M24" s="8"/>
      <c r="N24" s="51" t="s">
        <v>10</v>
      </c>
      <c r="O24" s="50" t="s">
        <v>57</v>
      </c>
      <c r="P24" s="49" t="s">
        <v>11</v>
      </c>
      <c r="Q24" s="8"/>
      <c r="R24" s="50" t="s">
        <v>12</v>
      </c>
      <c r="S24" s="50" t="s">
        <v>57</v>
      </c>
    </row>
    <row r="25" ht="15.75" customHeight="1">
      <c r="B25" s="22">
        <v>100.0</v>
      </c>
      <c r="C25" s="43">
        <v>0.1</v>
      </c>
      <c r="D25" s="43">
        <v>0.1</v>
      </c>
      <c r="E25" s="20">
        <v>0.013</v>
      </c>
      <c r="F25" s="20">
        <v>0.011</v>
      </c>
      <c r="G25" s="11">
        <f t="shared" ref="G25:H25" si="28">E25*50</f>
        <v>0.65</v>
      </c>
      <c r="H25" s="11">
        <f t="shared" si="28"/>
        <v>0.55</v>
      </c>
      <c r="I25" s="11">
        <f t="shared" ref="I25:J25" si="29">(G25-0.0244)/0.1678</f>
        <v>3.728247914</v>
      </c>
      <c r="J25" s="11">
        <f t="shared" si="29"/>
        <v>3.132300358</v>
      </c>
      <c r="K25" s="11">
        <f t="shared" ref="K25:K28" si="34">(I25+J25)/2</f>
        <v>3.430274136</v>
      </c>
      <c r="L25" s="11">
        <f t="shared" ref="L25:M25" si="30">(($V$3-I25)/$V$3)*100</f>
        <v>95.88211546</v>
      </c>
      <c r="M25" s="11">
        <f t="shared" si="30"/>
        <v>96.54034509</v>
      </c>
      <c r="N25" s="14">
        <f t="shared" ref="N25:N28" si="36">(L25+M25)/2</f>
        <v>96.21123028</v>
      </c>
      <c r="O25" s="11">
        <f t="shared" ref="O25:O28" si="37">STDEV(L25:M25)</f>
        <v>0.4654386318</v>
      </c>
      <c r="P25" s="11">
        <f t="shared" ref="P25:Q25" si="31">(($V$3-I25)/C25)*0.02</f>
        <v>17.36193882</v>
      </c>
      <c r="Q25" s="11">
        <f t="shared" si="31"/>
        <v>17.48112833</v>
      </c>
      <c r="R25" s="11">
        <f t="shared" ref="R25:R28" si="39">(P25+Q25)/2</f>
        <v>17.42153357</v>
      </c>
      <c r="S25" s="11">
        <f t="shared" ref="S25:S28" si="40">STDEV(P25:Q25)</f>
        <v>0.0842797117</v>
      </c>
    </row>
    <row r="26" ht="15.75" customHeight="1">
      <c r="B26" s="22">
        <v>200.0</v>
      </c>
      <c r="C26" s="43">
        <v>0.1</v>
      </c>
      <c r="D26" s="43">
        <v>0.1</v>
      </c>
      <c r="E26" s="20">
        <v>0.247</v>
      </c>
      <c r="F26" s="20">
        <v>0.276</v>
      </c>
      <c r="G26" s="11">
        <f t="shared" ref="G26:H26" si="32">E26*50</f>
        <v>12.35</v>
      </c>
      <c r="H26" s="11">
        <f t="shared" si="32"/>
        <v>13.8</v>
      </c>
      <c r="I26" s="11">
        <f t="shared" ref="I26:J26" si="33">(G26-0.0244)/0.1678</f>
        <v>73.45411204</v>
      </c>
      <c r="J26" s="11">
        <f t="shared" si="33"/>
        <v>82.09535161</v>
      </c>
      <c r="K26" s="11">
        <f t="shared" si="34"/>
        <v>77.77473182</v>
      </c>
      <c r="L26" s="11">
        <f t="shared" ref="L26:M26" si="35">(($V$4-I26)/$V$4)*100</f>
        <v>62.94048316</v>
      </c>
      <c r="M26" s="11">
        <f t="shared" si="35"/>
        <v>58.58075224</v>
      </c>
      <c r="N26" s="14">
        <f t="shared" si="36"/>
        <v>60.7606177</v>
      </c>
      <c r="O26" s="11">
        <f t="shared" si="37"/>
        <v>3.082795297</v>
      </c>
      <c r="P26" s="11">
        <f t="shared" ref="P26:Q26" si="38">(($V$4-I26)/C26)*0.02</f>
        <v>24.9503377</v>
      </c>
      <c r="Q26" s="11">
        <f t="shared" si="38"/>
        <v>23.22208979</v>
      </c>
      <c r="R26" s="11">
        <f t="shared" si="39"/>
        <v>24.08621375</v>
      </c>
      <c r="S26" s="11">
        <f t="shared" si="40"/>
        <v>1.22205582</v>
      </c>
    </row>
    <row r="27" ht="15.75" customHeight="1">
      <c r="B27" s="22">
        <v>300.0</v>
      </c>
      <c r="C27" s="43">
        <v>0.1</v>
      </c>
      <c r="D27" s="43">
        <v>0.1</v>
      </c>
      <c r="E27" s="20">
        <v>0.444</v>
      </c>
      <c r="F27" s="20">
        <v>0.418</v>
      </c>
      <c r="G27" s="11">
        <f t="shared" ref="G27:H27" si="41">E27*50</f>
        <v>22.2</v>
      </c>
      <c r="H27" s="11">
        <f t="shared" si="41"/>
        <v>20.9</v>
      </c>
      <c r="I27" s="11">
        <f t="shared" ref="I27:J27" si="42">(G27-0.0244)/0.1678</f>
        <v>132.1549464</v>
      </c>
      <c r="J27" s="11">
        <f t="shared" si="42"/>
        <v>124.4076281</v>
      </c>
      <c r="K27" s="11">
        <f t="shared" si="34"/>
        <v>128.2812872</v>
      </c>
      <c r="L27" s="11">
        <f t="shared" ref="L27:M27" si="43">(($V$5-I27)/$V$5)*100</f>
        <v>51.48519472</v>
      </c>
      <c r="M27" s="11">
        <f t="shared" si="43"/>
        <v>54.32927772</v>
      </c>
      <c r="N27" s="14">
        <f t="shared" si="36"/>
        <v>52.90723622</v>
      </c>
      <c r="O27" s="11">
        <f t="shared" si="37"/>
        <v>2.011070372</v>
      </c>
      <c r="P27" s="11">
        <f t="shared" ref="P27:Q27" si="44">(($V$5-I27)/C27)*0.02</f>
        <v>28.049265</v>
      </c>
      <c r="Q27" s="11">
        <f t="shared" si="44"/>
        <v>29.59872865</v>
      </c>
      <c r="R27" s="11">
        <f t="shared" si="39"/>
        <v>28.82399682</v>
      </c>
      <c r="S27" s="11">
        <f t="shared" si="40"/>
        <v>1.095636252</v>
      </c>
    </row>
    <row r="28" ht="15.75" customHeight="1">
      <c r="B28" s="22">
        <v>400.0</v>
      </c>
      <c r="C28" s="43">
        <v>0.1</v>
      </c>
      <c r="D28" s="43">
        <v>0.1</v>
      </c>
      <c r="E28" s="20">
        <v>0.754</v>
      </c>
      <c r="F28" s="20">
        <v>0.733</v>
      </c>
      <c r="G28" s="11">
        <f t="shared" ref="G28:H28" si="45">E28*50</f>
        <v>37.7</v>
      </c>
      <c r="H28" s="11">
        <f t="shared" si="45"/>
        <v>36.65</v>
      </c>
      <c r="I28" s="11">
        <v>200.0</v>
      </c>
      <c r="J28" s="11">
        <v>200.0</v>
      </c>
      <c r="K28" s="11">
        <f t="shared" si="34"/>
        <v>200</v>
      </c>
      <c r="L28" s="11">
        <f t="shared" ref="L28:M28" si="46">(($V$6-I28)/$V$6)*100</f>
        <v>45.09665345</v>
      </c>
      <c r="M28" s="11">
        <f t="shared" si="46"/>
        <v>45.09665345</v>
      </c>
      <c r="N28" s="14">
        <f t="shared" si="36"/>
        <v>45.09665345</v>
      </c>
      <c r="O28" s="11">
        <f t="shared" si="37"/>
        <v>0</v>
      </c>
      <c r="P28" s="11">
        <f t="shared" ref="P28:Q28" si="47">(($V$6-I28)/C28)*0.02</f>
        <v>32.85530393</v>
      </c>
      <c r="Q28" s="11">
        <f t="shared" si="47"/>
        <v>32.85530393</v>
      </c>
      <c r="R28" s="11">
        <f t="shared" si="39"/>
        <v>32.85530393</v>
      </c>
      <c r="S28" s="11">
        <f t="shared" si="40"/>
        <v>0</v>
      </c>
    </row>
    <row r="29" ht="15.75" customHeight="1">
      <c r="B29" s="5"/>
      <c r="E29" s="60"/>
      <c r="F29" s="60"/>
      <c r="K29" s="61"/>
      <c r="O29" s="6"/>
      <c r="P29" s="6"/>
      <c r="Q29" s="6"/>
      <c r="R29" s="6"/>
      <c r="S29" s="6"/>
    </row>
    <row r="30" ht="15.75" customHeight="1">
      <c r="B30" s="5"/>
      <c r="E30" s="60"/>
      <c r="F30" s="60"/>
      <c r="K30" s="61"/>
      <c r="O30" s="6"/>
      <c r="P30" s="6"/>
      <c r="Q30" s="6"/>
      <c r="R30" s="6"/>
      <c r="S30" s="6"/>
    </row>
    <row r="31" ht="15.75" customHeight="1">
      <c r="B31" s="5"/>
      <c r="E31" s="60"/>
      <c r="F31" s="60"/>
      <c r="K31" s="61"/>
      <c r="O31" s="6"/>
      <c r="P31" s="6"/>
      <c r="Q31" s="6"/>
      <c r="R31" s="6"/>
      <c r="S31" s="6"/>
    </row>
    <row r="32" ht="15.75" customHeight="1">
      <c r="B32" s="67" t="s">
        <v>68</v>
      </c>
      <c r="E32" s="60"/>
      <c r="F32" s="60"/>
      <c r="K32" s="61"/>
      <c r="O32" s="6"/>
      <c r="P32" s="6"/>
      <c r="Q32" s="6"/>
      <c r="R32" s="6"/>
      <c r="S32" s="6"/>
    </row>
    <row r="33" ht="15.75" customHeight="1">
      <c r="B33" s="17" t="s">
        <v>43</v>
      </c>
      <c r="C33" s="27"/>
      <c r="D33" s="8"/>
      <c r="E33" s="60"/>
      <c r="F33" s="60"/>
      <c r="K33" s="61"/>
      <c r="O33" s="6"/>
      <c r="P33" s="6"/>
      <c r="Q33" s="6"/>
      <c r="R33" s="6"/>
      <c r="S33" s="6"/>
    </row>
    <row r="34" ht="15.75" customHeight="1">
      <c r="B34" s="5"/>
      <c r="E34" s="60"/>
      <c r="F34" s="60"/>
      <c r="K34" s="61"/>
      <c r="O34" s="6"/>
      <c r="P34" s="6"/>
      <c r="Q34" s="6"/>
      <c r="R34" s="6"/>
      <c r="S34" s="6"/>
    </row>
    <row r="35" ht="15.75" customHeight="1">
      <c r="B35" s="48" t="s">
        <v>70</v>
      </c>
      <c r="C35" s="49" t="s">
        <v>5</v>
      </c>
      <c r="D35" s="8"/>
      <c r="E35" s="68" t="s">
        <v>6</v>
      </c>
      <c r="F35" s="8"/>
      <c r="G35" s="49" t="s">
        <v>36</v>
      </c>
      <c r="H35" s="8"/>
      <c r="I35" s="49" t="s">
        <v>37</v>
      </c>
      <c r="J35" s="8"/>
      <c r="K35" s="50" t="s">
        <v>7</v>
      </c>
      <c r="L35" s="49" t="s">
        <v>9</v>
      </c>
      <c r="M35" s="8"/>
      <c r="N35" s="51" t="s">
        <v>10</v>
      </c>
      <c r="O35" s="50" t="s">
        <v>57</v>
      </c>
      <c r="P35" s="49" t="s">
        <v>11</v>
      </c>
      <c r="Q35" s="8"/>
      <c r="R35" s="50" t="s">
        <v>12</v>
      </c>
      <c r="S35" s="50" t="s">
        <v>57</v>
      </c>
    </row>
    <row r="36" ht="15.75" customHeight="1">
      <c r="B36" s="22">
        <v>100.0</v>
      </c>
      <c r="C36" s="43">
        <v>0.1</v>
      </c>
      <c r="D36" s="43">
        <v>0.1</v>
      </c>
      <c r="E36" s="20">
        <v>0.051</v>
      </c>
      <c r="F36" s="20">
        <v>0.047</v>
      </c>
      <c r="G36" s="11">
        <f t="shared" ref="G36:H36" si="48">E36*50</f>
        <v>2.55</v>
      </c>
      <c r="H36" s="11">
        <f t="shared" si="48"/>
        <v>2.35</v>
      </c>
      <c r="I36" s="11">
        <f t="shared" ref="I36:J36" si="49">(G36-0.0244)/0.1678</f>
        <v>15.05125149</v>
      </c>
      <c r="J36" s="11">
        <f t="shared" si="49"/>
        <v>13.85935638</v>
      </c>
      <c r="K36" s="11">
        <f t="shared" ref="K36:K39" si="54">(I36+J36)/2</f>
        <v>14.45530393</v>
      </c>
      <c r="L36" s="11">
        <f t="shared" ref="L36:M36" si="50">(($V$3-I36)/$V$3)*100</f>
        <v>83.37575258</v>
      </c>
      <c r="M36" s="11">
        <f t="shared" si="50"/>
        <v>84.69221183</v>
      </c>
      <c r="N36" s="14">
        <f t="shared" ref="N36:N39" si="56">(L36+M36)/2</f>
        <v>84.0339822</v>
      </c>
      <c r="O36" s="11">
        <f t="shared" ref="O36:O39" si="57">STDEV(L36:M36)</f>
        <v>0.9308772637</v>
      </c>
      <c r="P36" s="11">
        <f t="shared" ref="P36:Q36" si="51">(($V$3-I36)/C36)*0.02</f>
        <v>15.0973381</v>
      </c>
      <c r="Q36" s="11">
        <f t="shared" si="51"/>
        <v>15.33571712</v>
      </c>
      <c r="R36" s="11">
        <f t="shared" ref="R36:R39" si="59">(P36+Q36)/2</f>
        <v>15.21652761</v>
      </c>
      <c r="S36" s="11">
        <f t="shared" ref="S36:S39" si="60">STDEV(P36:Q36)</f>
        <v>0.1685594234</v>
      </c>
    </row>
    <row r="37" ht="15.75" customHeight="1">
      <c r="B37" s="22">
        <v>200.0</v>
      </c>
      <c r="C37" s="43">
        <v>0.1</v>
      </c>
      <c r="D37" s="43">
        <v>0.1</v>
      </c>
      <c r="E37" s="20">
        <v>0.255</v>
      </c>
      <c r="F37" s="20">
        <v>0.264</v>
      </c>
      <c r="G37" s="11">
        <f t="shared" ref="G37:H37" si="52">E37*50</f>
        <v>12.75</v>
      </c>
      <c r="H37" s="11">
        <f t="shared" si="52"/>
        <v>13.2</v>
      </c>
      <c r="I37" s="11">
        <f t="shared" ref="I37:J37" si="53">(G37-0.0244)/0.1678</f>
        <v>75.83790226</v>
      </c>
      <c r="J37" s="11">
        <f t="shared" si="53"/>
        <v>78.51966627</v>
      </c>
      <c r="K37" s="11">
        <f t="shared" si="54"/>
        <v>77.17878427</v>
      </c>
      <c r="L37" s="11">
        <f t="shared" ref="L37:M37" si="55">(($V$4-I37)/$V$4)*100</f>
        <v>61.73779877</v>
      </c>
      <c r="M37" s="11">
        <f t="shared" si="55"/>
        <v>60.38477883</v>
      </c>
      <c r="N37" s="14">
        <f t="shared" si="56"/>
        <v>61.0612888</v>
      </c>
      <c r="O37" s="11">
        <f t="shared" si="57"/>
        <v>0.956729575</v>
      </c>
      <c r="P37" s="11">
        <f t="shared" ref="P37:Q37" si="58">(($V$4-I37)/C37)*0.02</f>
        <v>24.47357966</v>
      </c>
      <c r="Q37" s="11">
        <f t="shared" si="58"/>
        <v>23.93722686</v>
      </c>
      <c r="R37" s="11">
        <f t="shared" si="59"/>
        <v>24.20540326</v>
      </c>
      <c r="S37" s="11">
        <f t="shared" si="60"/>
        <v>0.3792587027</v>
      </c>
    </row>
    <row r="38" ht="15.75" customHeight="1">
      <c r="B38" s="22">
        <v>300.0</v>
      </c>
      <c r="C38" s="43">
        <v>0.1</v>
      </c>
      <c r="D38" s="43">
        <v>0.1</v>
      </c>
      <c r="E38" s="20">
        <v>0.505</v>
      </c>
      <c r="F38" s="20">
        <v>0.504</v>
      </c>
      <c r="G38" s="11">
        <f t="shared" ref="G38:H38" si="61">E38*50</f>
        <v>25.25</v>
      </c>
      <c r="H38" s="11">
        <f t="shared" si="61"/>
        <v>25.2</v>
      </c>
      <c r="I38" s="11">
        <f t="shared" ref="I38:J38" si="62">(G38-0.0244)/0.1678</f>
        <v>150.3313468</v>
      </c>
      <c r="J38" s="11">
        <f t="shared" si="62"/>
        <v>150.0333731</v>
      </c>
      <c r="K38" s="11">
        <f t="shared" si="54"/>
        <v>150.18236</v>
      </c>
      <c r="L38" s="11">
        <f t="shared" ref="L38:M38" si="63">(($V$5-I38)/$V$5)*100</f>
        <v>44.81253847</v>
      </c>
      <c r="M38" s="11">
        <f t="shared" si="63"/>
        <v>44.92192628</v>
      </c>
      <c r="N38" s="14">
        <f t="shared" si="56"/>
        <v>44.86723237</v>
      </c>
      <c r="O38" s="11">
        <f t="shared" si="57"/>
        <v>0.07734886045</v>
      </c>
      <c r="P38" s="11">
        <f t="shared" ref="P38:Q38" si="64">(($V$5-I38)/C38)*0.02</f>
        <v>24.4139849</v>
      </c>
      <c r="Q38" s="11">
        <f t="shared" si="64"/>
        <v>24.47357966</v>
      </c>
      <c r="R38" s="11">
        <f t="shared" si="59"/>
        <v>24.44378228</v>
      </c>
      <c r="S38" s="11">
        <f t="shared" si="60"/>
        <v>0.04213985585</v>
      </c>
    </row>
    <row r="39" ht="15.75" customHeight="1">
      <c r="B39" s="22">
        <v>400.0</v>
      </c>
      <c r="C39" s="43">
        <v>0.1</v>
      </c>
      <c r="D39" s="43">
        <v>0.1</v>
      </c>
      <c r="E39" s="20">
        <v>0.794</v>
      </c>
      <c r="F39" s="20">
        <v>0.819</v>
      </c>
      <c r="G39" s="11">
        <f t="shared" ref="G39:H39" si="65">E39*50</f>
        <v>39.7</v>
      </c>
      <c r="H39" s="11">
        <f t="shared" si="65"/>
        <v>40.95</v>
      </c>
      <c r="I39" s="11">
        <f t="shared" ref="I39:J39" si="66">(G39-0.0244)/0.1678</f>
        <v>236.4457688</v>
      </c>
      <c r="J39" s="11">
        <f t="shared" si="66"/>
        <v>243.8951132</v>
      </c>
      <c r="K39" s="11">
        <f t="shared" si="54"/>
        <v>240.170441</v>
      </c>
      <c r="L39" s="11">
        <f t="shared" ref="L39:M39" si="67">(($V$6-I39)/$V$6)*100</f>
        <v>35.09168008</v>
      </c>
      <c r="M39" s="11">
        <f t="shared" si="67"/>
        <v>33.04671038</v>
      </c>
      <c r="N39" s="14">
        <f t="shared" si="56"/>
        <v>34.06919523</v>
      </c>
      <c r="O39" s="11">
        <f t="shared" si="57"/>
        <v>1.446011943</v>
      </c>
      <c r="P39" s="11">
        <f t="shared" ref="P39:Q39" si="68">(($V$6-I39)/C39)*0.02</f>
        <v>25.56615018</v>
      </c>
      <c r="Q39" s="11">
        <f t="shared" si="68"/>
        <v>24.07628129</v>
      </c>
      <c r="R39" s="11">
        <f t="shared" si="59"/>
        <v>24.82121573</v>
      </c>
      <c r="S39" s="11">
        <f t="shared" si="60"/>
        <v>1.053496396</v>
      </c>
    </row>
    <row r="40" ht="15.75" customHeight="1">
      <c r="B40" s="5"/>
      <c r="E40" s="60"/>
      <c r="F40" s="60"/>
      <c r="K40" s="61"/>
      <c r="R40" s="61"/>
    </row>
    <row r="41" ht="15.75" customHeight="1">
      <c r="B41" s="67" t="s">
        <v>74</v>
      </c>
      <c r="E41" s="60"/>
      <c r="F41" s="60"/>
      <c r="K41" s="61"/>
      <c r="O41" s="6"/>
      <c r="P41" s="6"/>
      <c r="Q41" s="6"/>
      <c r="R41" s="6"/>
      <c r="S41" s="6"/>
    </row>
    <row r="42" ht="15.75" customHeight="1">
      <c r="B42" s="17" t="s">
        <v>43</v>
      </c>
      <c r="C42" s="27"/>
      <c r="D42" s="8"/>
      <c r="E42" s="60"/>
      <c r="F42" s="60"/>
      <c r="K42" s="61"/>
      <c r="O42" s="6"/>
      <c r="P42" s="6"/>
      <c r="Q42" s="6"/>
      <c r="R42" s="6"/>
      <c r="S42" s="6"/>
    </row>
    <row r="43" ht="15.75" customHeight="1">
      <c r="B43" s="5"/>
      <c r="E43" s="60"/>
      <c r="F43" s="60"/>
      <c r="K43" s="61"/>
      <c r="O43" s="6"/>
      <c r="P43" s="6"/>
      <c r="Q43" s="6"/>
      <c r="R43" s="6"/>
      <c r="S43" s="6"/>
    </row>
    <row r="44" ht="15.75" customHeight="1">
      <c r="B44" s="48" t="s">
        <v>70</v>
      </c>
      <c r="C44" s="49" t="s">
        <v>5</v>
      </c>
      <c r="D44" s="8"/>
      <c r="E44" s="68" t="s">
        <v>6</v>
      </c>
      <c r="F44" s="8"/>
      <c r="G44" s="49" t="s">
        <v>36</v>
      </c>
      <c r="H44" s="8"/>
      <c r="I44" s="49" t="s">
        <v>37</v>
      </c>
      <c r="J44" s="8"/>
      <c r="K44" s="50" t="s">
        <v>7</v>
      </c>
      <c r="L44" s="49" t="s">
        <v>9</v>
      </c>
      <c r="M44" s="8"/>
      <c r="N44" s="51" t="s">
        <v>10</v>
      </c>
      <c r="O44" s="50" t="s">
        <v>57</v>
      </c>
      <c r="P44" s="49" t="s">
        <v>11</v>
      </c>
      <c r="Q44" s="8"/>
      <c r="R44" s="50" t="s">
        <v>12</v>
      </c>
      <c r="S44" s="50" t="s">
        <v>57</v>
      </c>
    </row>
    <row r="45" ht="15.75" customHeight="1">
      <c r="B45" s="22">
        <v>100.0</v>
      </c>
      <c r="C45" s="43">
        <v>0.1</v>
      </c>
      <c r="D45" s="43">
        <v>0.1</v>
      </c>
      <c r="E45" s="20">
        <v>0.008</v>
      </c>
      <c r="F45" s="20">
        <v>0.005</v>
      </c>
      <c r="G45" s="11">
        <f t="shared" ref="G45:H45" si="69">E45*50</f>
        <v>0.4</v>
      </c>
      <c r="H45" s="11">
        <f t="shared" si="69"/>
        <v>0.25</v>
      </c>
      <c r="I45" s="11">
        <f t="shared" ref="I45:J45" si="70">(G45-0.0244)/0.1678</f>
        <v>2.238379023</v>
      </c>
      <c r="J45" s="11">
        <f t="shared" si="70"/>
        <v>1.344457688</v>
      </c>
      <c r="K45" s="71">
        <v>5.79141835518474</v>
      </c>
      <c r="L45" s="11">
        <f t="shared" ref="L45:M45" si="71">(($V$3-I45)/$V$3)*100</f>
        <v>97.52768953</v>
      </c>
      <c r="M45" s="11">
        <f t="shared" si="71"/>
        <v>98.51503396</v>
      </c>
      <c r="N45" s="14">
        <f t="shared" ref="N45:N48" si="75">(L45+M45)/2</f>
        <v>98.02136175</v>
      </c>
      <c r="O45" s="11">
        <f t="shared" ref="O45:O48" si="76">STDEV(L45:M45)</f>
        <v>0.6981579478</v>
      </c>
      <c r="P45" s="72">
        <f>(($V$3-K45)/C45)*0.02</f>
        <v>16.94930473</v>
      </c>
      <c r="Q45" s="11">
        <f>(($V$3-J45)/D45)*0.02</f>
        <v>17.83869686</v>
      </c>
      <c r="R45" s="11">
        <f t="shared" ref="R45:R48" si="77">(P45+Q45)/2</f>
        <v>17.39400079</v>
      </c>
      <c r="S45" s="11">
        <f t="shared" ref="S45:S48" si="78">STDEV(P45:Q45)</f>
        <v>0.6288952087</v>
      </c>
    </row>
    <row r="46" ht="15.75" customHeight="1">
      <c r="B46" s="22">
        <v>200.0</v>
      </c>
      <c r="C46" s="43">
        <v>0.1</v>
      </c>
      <c r="D46" s="43">
        <v>0.1</v>
      </c>
      <c r="E46" s="20">
        <v>0.083</v>
      </c>
      <c r="F46" s="20">
        <v>0.046</v>
      </c>
      <c r="G46" s="11">
        <f t="shared" ref="G46:H46" si="72">E46*50</f>
        <v>4.15</v>
      </c>
      <c r="H46" s="11">
        <f t="shared" si="72"/>
        <v>2.3</v>
      </c>
      <c r="I46" s="11">
        <f t="shared" ref="I46:J46" si="73">(G46-0.0244)/0.1678</f>
        <v>24.5864124</v>
      </c>
      <c r="J46" s="11">
        <f t="shared" si="73"/>
        <v>13.5613826</v>
      </c>
      <c r="K46" s="71">
        <v>19.073897497020262</v>
      </c>
      <c r="L46" s="11">
        <f t="shared" ref="L46:M46" si="74">(($V$4-I46)/$V$4)*100</f>
        <v>87.59551319</v>
      </c>
      <c r="M46" s="11">
        <f t="shared" si="74"/>
        <v>93.1579285</v>
      </c>
      <c r="N46" s="14">
        <f t="shared" si="75"/>
        <v>90.37672084</v>
      </c>
      <c r="O46" s="11">
        <f t="shared" si="76"/>
        <v>3.933221586</v>
      </c>
      <c r="P46" s="72">
        <f>(($V$4-K46)/C46)*0.02</f>
        <v>35.82638061</v>
      </c>
      <c r="Q46" s="11">
        <f>(($V$4-J46)/D46)*0.02</f>
        <v>36.92888359</v>
      </c>
      <c r="R46" s="11">
        <f t="shared" si="77"/>
        <v>36.3776321</v>
      </c>
      <c r="S46" s="11">
        <f t="shared" si="78"/>
        <v>0.7795873333</v>
      </c>
    </row>
    <row r="47" ht="15.75" customHeight="1">
      <c r="B47" s="22">
        <v>300.0</v>
      </c>
      <c r="C47" s="43">
        <v>0.1</v>
      </c>
      <c r="D47" s="43">
        <v>0.1</v>
      </c>
      <c r="E47" s="20">
        <v>0.345</v>
      </c>
      <c r="F47" s="20">
        <v>0.422</v>
      </c>
      <c r="G47" s="11">
        <f t="shared" ref="G47:H47" si="79">E47*50</f>
        <v>17.25</v>
      </c>
      <c r="H47" s="11">
        <f t="shared" si="79"/>
        <v>21.1</v>
      </c>
      <c r="I47" s="11">
        <f t="shared" ref="I47:J47" si="80">(G47-0.0244)/0.1678</f>
        <v>102.6555423</v>
      </c>
      <c r="J47" s="11">
        <f t="shared" si="80"/>
        <v>125.5995232</v>
      </c>
      <c r="K47" s="71">
        <v>111.127532777116</v>
      </c>
      <c r="L47" s="11">
        <f t="shared" ref="L47:M47" si="81">(($V$5-I47)/$V$5)*100</f>
        <v>62.31458767</v>
      </c>
      <c r="M47" s="11">
        <f t="shared" si="81"/>
        <v>53.89172649</v>
      </c>
      <c r="N47" s="14">
        <f t="shared" si="75"/>
        <v>58.10315708</v>
      </c>
      <c r="O47" s="11">
        <f t="shared" si="76"/>
        <v>5.955862255</v>
      </c>
      <c r="P47" s="72">
        <f>(($V$5-K47)/C47)*0.02</f>
        <v>32.25474772</v>
      </c>
      <c r="Q47" s="11">
        <f>(($V$5-J47)/D47)*0.02</f>
        <v>29.36034962</v>
      </c>
      <c r="R47" s="11">
        <f t="shared" si="77"/>
        <v>30.80754867</v>
      </c>
      <c r="S47" s="11">
        <f t="shared" si="78"/>
        <v>2.046648519</v>
      </c>
    </row>
    <row r="48" ht="15.75" customHeight="1">
      <c r="B48" s="22">
        <v>400.0</v>
      </c>
      <c r="C48" s="43">
        <v>0.1</v>
      </c>
      <c r="D48" s="43">
        <v>0.1</v>
      </c>
      <c r="E48" s="20">
        <v>0.882</v>
      </c>
      <c r="F48" s="20">
        <v>0.718</v>
      </c>
      <c r="G48" s="11">
        <f t="shared" ref="G48:H48" si="82">E48*50</f>
        <v>44.1</v>
      </c>
      <c r="H48" s="11">
        <f t="shared" si="82"/>
        <v>35.9</v>
      </c>
      <c r="I48" s="11">
        <f t="shared" ref="I48:J48" si="83">(G48-0.0244)/0.1678</f>
        <v>262.6674613</v>
      </c>
      <c r="J48" s="11">
        <f t="shared" si="83"/>
        <v>213.7997616</v>
      </c>
      <c r="K48" s="73">
        <v>150.0</v>
      </c>
      <c r="L48" s="11">
        <f t="shared" ref="L48:M48" si="84">(($V$6-I48)/$V$6)*100</f>
        <v>27.89338673</v>
      </c>
      <c r="M48" s="11">
        <f t="shared" si="84"/>
        <v>41.30838797</v>
      </c>
      <c r="N48" s="14">
        <f t="shared" si="75"/>
        <v>34.60088735</v>
      </c>
      <c r="O48" s="11">
        <f t="shared" si="76"/>
        <v>9.485838349</v>
      </c>
      <c r="P48" s="72">
        <f>(($V$6-K48)/C48)*0.02</f>
        <v>42.85530393</v>
      </c>
      <c r="Q48" s="11">
        <f>(($V$6-J48)/D48)*0.02</f>
        <v>30.09535161</v>
      </c>
      <c r="R48" s="11">
        <f t="shared" si="77"/>
        <v>36.47532777</v>
      </c>
      <c r="S48" s="11">
        <f t="shared" si="78"/>
        <v>9.022648816</v>
      </c>
    </row>
    <row r="49" ht="15.75" customHeight="1">
      <c r="B49" s="5"/>
      <c r="E49" s="60"/>
      <c r="F49" s="60"/>
      <c r="K49" s="61"/>
      <c r="R49" s="61"/>
    </row>
    <row r="50" ht="15.75" customHeight="1">
      <c r="B50" s="67" t="s">
        <v>74</v>
      </c>
      <c r="E50" s="60"/>
      <c r="F50" s="60"/>
      <c r="K50" s="61"/>
      <c r="R50" s="61"/>
    </row>
    <row r="51" ht="15.75" customHeight="1">
      <c r="B51" s="17" t="s">
        <v>75</v>
      </c>
      <c r="C51" s="27"/>
      <c r="D51" s="8"/>
      <c r="E51" s="60"/>
      <c r="F51" s="60"/>
      <c r="K51" s="61"/>
      <c r="R51" s="61"/>
    </row>
    <row r="52" ht="15.75" customHeight="1">
      <c r="B52" s="48" t="s">
        <v>70</v>
      </c>
      <c r="C52" s="49" t="s">
        <v>5</v>
      </c>
      <c r="D52" s="8"/>
      <c r="E52" s="68" t="s">
        <v>6</v>
      </c>
      <c r="F52" s="8"/>
      <c r="G52" s="49" t="s">
        <v>36</v>
      </c>
      <c r="H52" s="8"/>
      <c r="I52" s="49" t="s">
        <v>37</v>
      </c>
      <c r="J52" s="8"/>
      <c r="K52" s="50" t="s">
        <v>7</v>
      </c>
      <c r="L52" s="49" t="s">
        <v>9</v>
      </c>
      <c r="M52" s="8"/>
      <c r="N52" s="51" t="s">
        <v>10</v>
      </c>
      <c r="O52" s="50" t="s">
        <v>57</v>
      </c>
      <c r="P52" s="49" t="s">
        <v>11</v>
      </c>
      <c r="Q52" s="8"/>
      <c r="R52" s="50" t="s">
        <v>12</v>
      </c>
      <c r="S52" s="50" t="s">
        <v>57</v>
      </c>
    </row>
    <row r="53" ht="15.75" customHeight="1">
      <c r="B53" s="22">
        <v>100.0</v>
      </c>
      <c r="C53" s="43">
        <v>0.1</v>
      </c>
      <c r="D53" s="43">
        <v>0.1</v>
      </c>
      <c r="E53" s="20">
        <v>0.004</v>
      </c>
      <c r="F53" s="20">
        <v>0.002</v>
      </c>
      <c r="G53" s="11">
        <f t="shared" ref="G53:H53" si="85">E53*50</f>
        <v>0.2</v>
      </c>
      <c r="H53" s="11">
        <f t="shared" si="85"/>
        <v>0.1</v>
      </c>
      <c r="I53" s="11">
        <f t="shared" ref="I53:I55" si="88">(G53-0.0244)/0.1678</f>
        <v>1.046483909</v>
      </c>
      <c r="J53" s="11">
        <v>1.05</v>
      </c>
      <c r="K53" s="11">
        <f t="shared" ref="K53:K55" si="89">(I53+J53)/2</f>
        <v>1.048241955</v>
      </c>
      <c r="L53" s="11">
        <f t="shared" ref="L53:M53" si="86">(($V$3-I53)/$V$3)*100</f>
        <v>98.84414878</v>
      </c>
      <c r="M53" s="11">
        <f t="shared" si="86"/>
        <v>98.84026522</v>
      </c>
      <c r="N53" s="14">
        <f t="shared" ref="N53:N56" si="91">(L53+M53)/2</f>
        <v>98.842207</v>
      </c>
      <c r="O53" s="11">
        <f t="shared" ref="O53:O56" si="92">STDEV(L53:M53)</f>
        <v>0.002746087928</v>
      </c>
      <c r="P53" s="11">
        <f>(($V$3-K53)/C53)*0.02</f>
        <v>17.89794001</v>
      </c>
      <c r="Q53" s="11">
        <f>(($V$3-J53)/D53)*0.02</f>
        <v>17.8975884</v>
      </c>
      <c r="R53" s="11">
        <f t="shared" ref="R53:R56" si="94">(P53+Q53)/2</f>
        <v>17.8977642</v>
      </c>
      <c r="S53" s="11">
        <f t="shared" ref="S53:S56" si="95">STDEV(P53:Q53)</f>
        <v>0.0002486251495</v>
      </c>
    </row>
    <row r="54" ht="15.75" customHeight="1">
      <c r="B54" s="22">
        <v>200.0</v>
      </c>
      <c r="C54" s="43">
        <v>0.1</v>
      </c>
      <c r="D54" s="43">
        <v>0.1</v>
      </c>
      <c r="E54" s="20">
        <v>0.018</v>
      </c>
      <c r="F54" s="20">
        <v>0.022</v>
      </c>
      <c r="G54" s="11">
        <f t="shared" ref="G54:H54" si="87">E54*50</f>
        <v>0.9</v>
      </c>
      <c r="H54" s="11">
        <f t="shared" si="87"/>
        <v>1.1</v>
      </c>
      <c r="I54" s="11">
        <f t="shared" si="88"/>
        <v>5.218116806</v>
      </c>
      <c r="J54" s="11">
        <f t="shared" ref="J54:J55" si="97">(H54-0.0244)/0.1678</f>
        <v>6.410011919</v>
      </c>
      <c r="K54" s="11">
        <f t="shared" si="89"/>
        <v>5.814064362</v>
      </c>
      <c r="L54" s="11">
        <f t="shared" ref="L54:M54" si="90">(($V$4-I54)/$V$4)*100</f>
        <v>97.36732387</v>
      </c>
      <c r="M54" s="11">
        <f t="shared" si="90"/>
        <v>96.76598167</v>
      </c>
      <c r="N54" s="14">
        <f t="shared" si="91"/>
        <v>97.06665277</v>
      </c>
      <c r="O54" s="11">
        <f t="shared" si="92"/>
        <v>0.4252131445</v>
      </c>
      <c r="P54" s="11">
        <f t="shared" ref="P54:Q54" si="93">(($V$4-I54)/C54)*0.02</f>
        <v>38.59753675</v>
      </c>
      <c r="Q54" s="11">
        <f t="shared" si="93"/>
        <v>38.35915773</v>
      </c>
      <c r="R54" s="11">
        <f t="shared" si="94"/>
        <v>38.47834724</v>
      </c>
      <c r="S54" s="11">
        <f t="shared" si="95"/>
        <v>0.1685594234</v>
      </c>
    </row>
    <row r="55" ht="15.75" customHeight="1">
      <c r="B55" s="22">
        <v>300.0</v>
      </c>
      <c r="C55" s="43">
        <v>0.1</v>
      </c>
      <c r="D55" s="43">
        <v>0.1</v>
      </c>
      <c r="E55" s="20">
        <v>0.087</v>
      </c>
      <c r="F55" s="20">
        <v>0.093</v>
      </c>
      <c r="G55" s="11">
        <f t="shared" ref="G55:H55" si="96">E55*50</f>
        <v>4.35</v>
      </c>
      <c r="H55" s="11">
        <f t="shared" si="96"/>
        <v>4.65</v>
      </c>
      <c r="I55" s="11">
        <f t="shared" si="88"/>
        <v>25.77830751</v>
      </c>
      <c r="J55" s="11">
        <f t="shared" si="97"/>
        <v>27.56615018</v>
      </c>
      <c r="K55" s="11">
        <f t="shared" si="89"/>
        <v>26.67222884</v>
      </c>
      <c r="L55" s="11">
        <f t="shared" ref="L55:M55" si="98">(($V$5-I55)/$V$5)*100</f>
        <v>90.536642</v>
      </c>
      <c r="M55" s="11">
        <f t="shared" si="98"/>
        <v>89.88031515</v>
      </c>
      <c r="N55" s="14">
        <f t="shared" si="91"/>
        <v>90.20847858</v>
      </c>
      <c r="O55" s="11">
        <f t="shared" si="92"/>
        <v>0.4640931627</v>
      </c>
      <c r="P55" s="11">
        <f t="shared" ref="P55:Q55" si="99">(($V$5-I55)/C55)*0.02</f>
        <v>49.32459277</v>
      </c>
      <c r="Q55" s="11">
        <f t="shared" si="99"/>
        <v>48.96702424</v>
      </c>
      <c r="R55" s="11">
        <f t="shared" si="94"/>
        <v>49.1458085</v>
      </c>
      <c r="S55" s="11">
        <f t="shared" si="95"/>
        <v>0.2528391351</v>
      </c>
    </row>
    <row r="56" ht="15.75" customHeight="1">
      <c r="B56" s="22">
        <v>400.0</v>
      </c>
      <c r="C56" s="43">
        <v>0.1</v>
      </c>
      <c r="D56" s="43">
        <v>0.1</v>
      </c>
      <c r="E56" s="20">
        <v>0.2</v>
      </c>
      <c r="F56" s="20">
        <v>0.218</v>
      </c>
      <c r="G56" s="11">
        <f t="shared" ref="G56:H56" si="100">E56*50</f>
        <v>10</v>
      </c>
      <c r="H56" s="11">
        <f t="shared" si="100"/>
        <v>10.9</v>
      </c>
      <c r="I56" s="11">
        <v>32.0</v>
      </c>
      <c r="J56" s="11">
        <v>32.0</v>
      </c>
      <c r="K56" s="11">
        <f>AVERAGE(I56:J56)</f>
        <v>32</v>
      </c>
      <c r="L56" s="11">
        <f t="shared" ref="L56:M56" si="101">(($V$6-I56)/$V$6)*100</f>
        <v>91.21546455</v>
      </c>
      <c r="M56" s="11">
        <f t="shared" si="101"/>
        <v>91.21546455</v>
      </c>
      <c r="N56" s="14">
        <f t="shared" si="91"/>
        <v>91.21546455</v>
      </c>
      <c r="O56" s="11">
        <f t="shared" si="92"/>
        <v>0</v>
      </c>
      <c r="P56" s="11">
        <f t="shared" ref="P56:Q56" si="102">(($V$6-I56)/C56)*0.02</f>
        <v>66.45530393</v>
      </c>
      <c r="Q56" s="11">
        <f t="shared" si="102"/>
        <v>66.45530393</v>
      </c>
      <c r="R56" s="11">
        <f t="shared" si="94"/>
        <v>66.45530393</v>
      </c>
      <c r="S56" s="11">
        <f t="shared" si="95"/>
        <v>0</v>
      </c>
    </row>
    <row r="57" ht="15.75" customHeight="1">
      <c r="B57" s="5"/>
      <c r="E57" s="60"/>
      <c r="F57" s="60"/>
      <c r="K57" s="61"/>
      <c r="R57" s="61"/>
    </row>
    <row r="58" ht="15.75" customHeight="1">
      <c r="B58" s="67" t="s">
        <v>74</v>
      </c>
      <c r="E58" s="60"/>
      <c r="F58" s="60"/>
      <c r="K58" s="61"/>
      <c r="R58" s="61"/>
    </row>
    <row r="59" ht="15.75" customHeight="1">
      <c r="B59" s="17" t="s">
        <v>76</v>
      </c>
      <c r="C59" s="27"/>
      <c r="D59" s="8"/>
      <c r="E59" s="60"/>
      <c r="F59" s="60"/>
      <c r="K59" s="61"/>
      <c r="R59" s="61"/>
    </row>
    <row r="60" ht="15.75" customHeight="1">
      <c r="B60" s="48" t="s">
        <v>70</v>
      </c>
      <c r="C60" s="49" t="s">
        <v>5</v>
      </c>
      <c r="D60" s="8"/>
      <c r="E60" s="68" t="s">
        <v>6</v>
      </c>
      <c r="F60" s="8"/>
      <c r="G60" s="49" t="s">
        <v>36</v>
      </c>
      <c r="H60" s="8"/>
      <c r="I60" s="49" t="s">
        <v>37</v>
      </c>
      <c r="J60" s="8"/>
      <c r="K60" s="50" t="s">
        <v>7</v>
      </c>
      <c r="L60" s="49" t="s">
        <v>9</v>
      </c>
      <c r="M60" s="8"/>
      <c r="N60" s="51" t="s">
        <v>10</v>
      </c>
      <c r="O60" s="50" t="s">
        <v>57</v>
      </c>
      <c r="P60" s="49" t="s">
        <v>11</v>
      </c>
      <c r="Q60" s="8"/>
      <c r="R60" s="50" t="s">
        <v>12</v>
      </c>
      <c r="S60" s="50" t="s">
        <v>57</v>
      </c>
    </row>
    <row r="61" ht="15.75" customHeight="1">
      <c r="B61" s="22">
        <v>100.0</v>
      </c>
      <c r="C61" s="43">
        <v>0.1</v>
      </c>
      <c r="D61" s="43">
        <v>0.1</v>
      </c>
      <c r="E61" s="20">
        <v>0.004</v>
      </c>
      <c r="F61" s="20">
        <v>0.001</v>
      </c>
      <c r="G61" s="11">
        <f t="shared" ref="G61:H61" si="103">E61*50</f>
        <v>0.2</v>
      </c>
      <c r="H61" s="11">
        <f t="shared" si="103"/>
        <v>0.05</v>
      </c>
      <c r="I61" s="11">
        <f t="shared" ref="I61:I64" si="107">(G61-0.0244)/0.1678</f>
        <v>1.046483909</v>
      </c>
      <c r="J61" s="11">
        <v>1.01</v>
      </c>
      <c r="K61" s="11">
        <f t="shared" ref="K61:K64" si="108">(I61+J61)/2</f>
        <v>1.028241955</v>
      </c>
      <c r="L61" s="11">
        <f t="shared" ref="L61:M61" si="104">(($V$3-I61)/$V$3)*100</f>
        <v>98.84414878</v>
      </c>
      <c r="M61" s="11">
        <f t="shared" si="104"/>
        <v>98.8844456</v>
      </c>
      <c r="N61" s="14">
        <f t="shared" ref="N61:N64" si="110">(L61+M61)/2</f>
        <v>98.86429719</v>
      </c>
      <c r="O61" s="11">
        <f t="shared" ref="O61:O64" si="111">STDEV(L61:M61)</f>
        <v>0.02849415304</v>
      </c>
      <c r="P61" s="11">
        <f t="shared" ref="P61:Q61" si="105">(($V$3-I61)/C61)*0.02</f>
        <v>17.89829162</v>
      </c>
      <c r="Q61" s="11">
        <f t="shared" si="105"/>
        <v>17.9055884</v>
      </c>
      <c r="R61" s="11">
        <f t="shared" ref="R61:R64" si="113">(P61+Q61)/2</f>
        <v>17.90194001</v>
      </c>
      <c r="S61" s="11">
        <f t="shared" ref="S61:S64" si="114">STDEV(P61:Q61)</f>
        <v>0.00515960395</v>
      </c>
    </row>
    <row r="62" ht="15.75" customHeight="1">
      <c r="B62" s="22">
        <v>200.0</v>
      </c>
      <c r="C62" s="43">
        <v>0.1</v>
      </c>
      <c r="D62" s="43">
        <v>0.1</v>
      </c>
      <c r="E62" s="20">
        <v>0.065</v>
      </c>
      <c r="F62" s="20">
        <v>0.046</v>
      </c>
      <c r="G62" s="11">
        <f t="shared" ref="G62:H62" si="106">E62*50</f>
        <v>3.25</v>
      </c>
      <c r="H62" s="11">
        <f t="shared" si="106"/>
        <v>2.3</v>
      </c>
      <c r="I62" s="11">
        <f t="shared" si="107"/>
        <v>19.22288439</v>
      </c>
      <c r="J62" s="11">
        <f t="shared" ref="J62:J64" si="116">(H62-0.0244)/0.1678</f>
        <v>13.5613826</v>
      </c>
      <c r="K62" s="11">
        <f t="shared" si="108"/>
        <v>16.39213349</v>
      </c>
      <c r="L62" s="11">
        <f t="shared" ref="L62:M62" si="109">(($V$4-I62)/$V$4)*100</f>
        <v>90.30155307</v>
      </c>
      <c r="M62" s="11">
        <f t="shared" si="109"/>
        <v>93.1579285</v>
      </c>
      <c r="N62" s="14">
        <f t="shared" si="110"/>
        <v>91.72974078</v>
      </c>
      <c r="O62" s="11">
        <f t="shared" si="111"/>
        <v>2.019762436</v>
      </c>
      <c r="P62" s="11">
        <f t="shared" ref="P62:Q62" si="112">(($V$4-I62)/C62)*0.02</f>
        <v>35.79658323</v>
      </c>
      <c r="Q62" s="11">
        <f t="shared" si="112"/>
        <v>36.92888359</v>
      </c>
      <c r="R62" s="11">
        <f t="shared" si="113"/>
        <v>36.36273341</v>
      </c>
      <c r="S62" s="11">
        <f t="shared" si="114"/>
        <v>0.8006572612</v>
      </c>
    </row>
    <row r="63" ht="15.75" customHeight="1">
      <c r="B63" s="22">
        <v>300.0</v>
      </c>
      <c r="C63" s="43">
        <v>0.1</v>
      </c>
      <c r="D63" s="43">
        <v>0.1</v>
      </c>
      <c r="E63" s="20">
        <v>0.208</v>
      </c>
      <c r="F63" s="20">
        <v>0.207</v>
      </c>
      <c r="G63" s="11">
        <f t="shared" ref="G63:H63" si="115">E63*50</f>
        <v>10.4</v>
      </c>
      <c r="H63" s="11">
        <f t="shared" si="115"/>
        <v>10.35</v>
      </c>
      <c r="I63" s="11">
        <f t="shared" si="107"/>
        <v>61.83313468</v>
      </c>
      <c r="J63" s="11">
        <f t="shared" si="116"/>
        <v>61.53516091</v>
      </c>
      <c r="K63" s="11">
        <f t="shared" si="108"/>
        <v>61.68414779</v>
      </c>
      <c r="L63" s="11">
        <f t="shared" ref="L63:M63" si="117">(($V$5-I63)/$V$5)*100</f>
        <v>77.30071729</v>
      </c>
      <c r="M63" s="11">
        <f t="shared" si="117"/>
        <v>77.4101051</v>
      </c>
      <c r="N63" s="14">
        <f t="shared" si="110"/>
        <v>77.3554112</v>
      </c>
      <c r="O63" s="11">
        <f t="shared" si="111"/>
        <v>0.07734886045</v>
      </c>
      <c r="P63" s="11">
        <f t="shared" ref="P63:Q63" si="118">(($V$5-I63)/C63)*0.02</f>
        <v>42.11362733</v>
      </c>
      <c r="Q63" s="11">
        <f t="shared" si="118"/>
        <v>42.17322209</v>
      </c>
      <c r="R63" s="11">
        <f t="shared" si="113"/>
        <v>42.14342471</v>
      </c>
      <c r="S63" s="11">
        <f t="shared" si="114"/>
        <v>0.04213985585</v>
      </c>
    </row>
    <row r="64" ht="15.75" customHeight="1">
      <c r="B64" s="22">
        <v>400.0</v>
      </c>
      <c r="C64" s="43">
        <v>0.1</v>
      </c>
      <c r="D64" s="43">
        <v>0.1</v>
      </c>
      <c r="E64" s="20">
        <v>0.485</v>
      </c>
      <c r="F64" s="20">
        <v>0.484</v>
      </c>
      <c r="G64" s="11">
        <f t="shared" ref="G64:H64" si="119">E64*50</f>
        <v>24.25</v>
      </c>
      <c r="H64" s="11">
        <f t="shared" si="119"/>
        <v>24.2</v>
      </c>
      <c r="I64" s="11">
        <f t="shared" si="107"/>
        <v>144.3718713</v>
      </c>
      <c r="J64" s="11">
        <f t="shared" si="116"/>
        <v>144.0738975</v>
      </c>
      <c r="K64" s="11">
        <f t="shared" si="108"/>
        <v>144.2228844</v>
      </c>
      <c r="L64" s="11">
        <f t="shared" ref="L64:M64" si="120">(($V$6-I64)/$V$6)*100</f>
        <v>60.3675056</v>
      </c>
      <c r="M64" s="11">
        <f t="shared" si="120"/>
        <v>60.44930438</v>
      </c>
      <c r="N64" s="14">
        <f t="shared" si="110"/>
        <v>60.40840499</v>
      </c>
      <c r="O64" s="11">
        <f t="shared" si="111"/>
        <v>0.05784047774</v>
      </c>
      <c r="P64" s="11">
        <f t="shared" ref="P64:Q64" si="121">(($V$6-I64)/C64)*0.02</f>
        <v>43.98092968</v>
      </c>
      <c r="Q64" s="11">
        <f t="shared" si="121"/>
        <v>44.04052443</v>
      </c>
      <c r="R64" s="11">
        <f t="shared" si="113"/>
        <v>44.01072706</v>
      </c>
      <c r="S64" s="11">
        <f t="shared" si="114"/>
        <v>0.04213985585</v>
      </c>
    </row>
    <row r="65" ht="15.75" customHeight="1">
      <c r="B65" s="5"/>
      <c r="E65" s="60"/>
      <c r="F65" s="60"/>
      <c r="K65" s="61"/>
      <c r="R65" s="61"/>
    </row>
    <row r="66" ht="15.75" customHeight="1">
      <c r="B66" s="5"/>
      <c r="E66" s="60"/>
      <c r="F66" s="60"/>
      <c r="K66" s="61"/>
      <c r="R66" s="61"/>
    </row>
    <row r="67" ht="15.75" customHeight="1">
      <c r="B67" s="5"/>
      <c r="E67" s="60"/>
      <c r="F67" s="60"/>
      <c r="K67" s="61"/>
      <c r="R67" s="61"/>
    </row>
    <row r="68" ht="15.75" customHeight="1">
      <c r="B68" s="5"/>
      <c r="E68" s="60"/>
      <c r="F68" s="60"/>
      <c r="K68" s="61"/>
      <c r="R68" s="61"/>
    </row>
    <row r="69" ht="15.75" customHeight="1">
      <c r="B69" s="67" t="s">
        <v>85</v>
      </c>
      <c r="E69" s="60"/>
      <c r="F69" s="60"/>
      <c r="K69" s="61"/>
      <c r="O69" s="6"/>
      <c r="P69" s="6"/>
      <c r="Q69" s="6"/>
      <c r="R69" s="6"/>
      <c r="S69" s="6"/>
    </row>
    <row r="70" ht="15.75" customHeight="1">
      <c r="B70" s="17" t="s">
        <v>43</v>
      </c>
      <c r="C70" s="27"/>
      <c r="D70" s="8"/>
      <c r="E70" s="60"/>
      <c r="F70" s="60"/>
      <c r="K70" s="61"/>
      <c r="O70" s="6"/>
      <c r="P70" s="6"/>
      <c r="Q70" s="6"/>
      <c r="R70" s="6"/>
      <c r="S70" s="6"/>
    </row>
    <row r="71" ht="15.75" customHeight="1">
      <c r="B71" s="5"/>
      <c r="E71" s="60"/>
      <c r="F71" s="60"/>
      <c r="K71" s="61"/>
      <c r="O71" s="6"/>
      <c r="P71" s="6"/>
      <c r="Q71" s="6"/>
      <c r="R71" s="6"/>
      <c r="S71" s="6"/>
    </row>
    <row r="72" ht="15.75" customHeight="1">
      <c r="B72" s="48" t="s">
        <v>70</v>
      </c>
      <c r="C72" s="49" t="s">
        <v>5</v>
      </c>
      <c r="D72" s="8"/>
      <c r="E72" s="68" t="s">
        <v>6</v>
      </c>
      <c r="F72" s="8"/>
      <c r="G72" s="49" t="s">
        <v>36</v>
      </c>
      <c r="H72" s="8"/>
      <c r="I72" s="49" t="s">
        <v>37</v>
      </c>
      <c r="J72" s="8"/>
      <c r="K72" s="50" t="s">
        <v>7</v>
      </c>
      <c r="L72" s="49" t="s">
        <v>9</v>
      </c>
      <c r="M72" s="8"/>
      <c r="N72" s="51" t="s">
        <v>10</v>
      </c>
      <c r="O72" s="50" t="s">
        <v>57</v>
      </c>
      <c r="P72" s="49" t="s">
        <v>11</v>
      </c>
      <c r="Q72" s="8"/>
      <c r="R72" s="50" t="s">
        <v>12</v>
      </c>
      <c r="S72" s="50" t="s">
        <v>57</v>
      </c>
    </row>
    <row r="73" ht="15.75" customHeight="1">
      <c r="B73" s="22">
        <v>100.0</v>
      </c>
      <c r="C73" s="43">
        <v>0.1</v>
      </c>
      <c r="D73" s="43">
        <v>0.1</v>
      </c>
      <c r="E73" s="20">
        <v>0.01</v>
      </c>
      <c r="F73" s="20">
        <v>0.014</v>
      </c>
      <c r="G73" s="11">
        <f t="shared" ref="G73:H73" si="122">E73*50</f>
        <v>0.5</v>
      </c>
      <c r="H73" s="11">
        <f t="shared" si="122"/>
        <v>0.7</v>
      </c>
      <c r="I73" s="11">
        <f t="shared" ref="I73:J73" si="123">(G73-0.0244)/0.1678</f>
        <v>2.834326579</v>
      </c>
      <c r="J73" s="11">
        <f t="shared" si="123"/>
        <v>4.026221692</v>
      </c>
      <c r="K73" s="11">
        <f t="shared" ref="K73:K76" si="128">(I73+J73)/2</f>
        <v>3.430274136</v>
      </c>
      <c r="L73" s="11">
        <f t="shared" ref="L73:M73" si="124">(($V$3-I73)/$V$3)*100</f>
        <v>96.8694599</v>
      </c>
      <c r="M73" s="11">
        <f t="shared" si="124"/>
        <v>95.55300065</v>
      </c>
      <c r="N73" s="14">
        <f t="shared" ref="N73:N74" si="130">(L73+M73)/2</f>
        <v>96.21123028</v>
      </c>
      <c r="O73" s="11">
        <f t="shared" ref="O73:O76" si="131">STDEV(L73:M73)</f>
        <v>0.9308772637</v>
      </c>
      <c r="P73" s="11">
        <f t="shared" ref="P73:Q73" si="125">(($V$3-I73)/C73)*0.02</f>
        <v>17.54072308</v>
      </c>
      <c r="Q73" s="11">
        <f t="shared" si="125"/>
        <v>17.30234406</v>
      </c>
      <c r="R73" s="11">
        <f t="shared" ref="R73:R76" si="133">(P73+Q73)/2</f>
        <v>17.42153357</v>
      </c>
      <c r="S73" s="11">
        <f t="shared" ref="S73:S76" si="134">STDEV(P73:Q73)</f>
        <v>0.1685594234</v>
      </c>
    </row>
    <row r="74" ht="15.75" customHeight="1">
      <c r="B74" s="22">
        <v>200.0</v>
      </c>
      <c r="C74" s="43">
        <v>0.1</v>
      </c>
      <c r="D74" s="43">
        <v>0.1</v>
      </c>
      <c r="E74" s="20">
        <v>0.247</v>
      </c>
      <c r="F74" s="20">
        <v>0.283</v>
      </c>
      <c r="G74" s="11">
        <f t="shared" ref="G74:H74" si="126">E74*50</f>
        <v>12.35</v>
      </c>
      <c r="H74" s="11">
        <f t="shared" si="126"/>
        <v>14.15</v>
      </c>
      <c r="I74" s="11">
        <f t="shared" ref="I74:J74" si="127">(G74-0.0244)/0.1678</f>
        <v>73.45411204</v>
      </c>
      <c r="J74" s="11">
        <f t="shared" si="127"/>
        <v>84.18116806</v>
      </c>
      <c r="K74" s="11">
        <f t="shared" si="128"/>
        <v>78.81764005</v>
      </c>
      <c r="L74" s="11">
        <f t="shared" ref="L74:M74" si="129">(($V$4-I74)/$V$4)*100</f>
        <v>62.94048316</v>
      </c>
      <c r="M74" s="11">
        <f t="shared" si="129"/>
        <v>57.5284034</v>
      </c>
      <c r="N74" s="14">
        <f t="shared" si="130"/>
        <v>60.23444328</v>
      </c>
      <c r="O74" s="11">
        <f t="shared" si="131"/>
        <v>3.8269183</v>
      </c>
      <c r="P74" s="11">
        <f t="shared" ref="P74:Q74" si="132">(($V$4-I74)/C74)*0.02</f>
        <v>24.9503377</v>
      </c>
      <c r="Q74" s="11">
        <f t="shared" si="132"/>
        <v>22.8049265</v>
      </c>
      <c r="R74" s="11">
        <f t="shared" si="133"/>
        <v>23.8776321</v>
      </c>
      <c r="S74" s="11">
        <f t="shared" si="134"/>
        <v>1.517034811</v>
      </c>
    </row>
    <row r="75" ht="15.75" customHeight="1">
      <c r="B75" s="22">
        <v>300.0</v>
      </c>
      <c r="C75" s="43">
        <v>0.1</v>
      </c>
      <c r="D75" s="43">
        <v>0.1</v>
      </c>
      <c r="E75" s="20">
        <v>0.513</v>
      </c>
      <c r="F75" s="20">
        <v>0.488</v>
      </c>
      <c r="G75" s="11">
        <f t="shared" ref="G75:H75" si="135">E75*50</f>
        <v>25.65</v>
      </c>
      <c r="H75" s="11">
        <f t="shared" si="135"/>
        <v>24.4</v>
      </c>
      <c r="I75" s="11">
        <f t="shared" ref="I75:J75" si="136">(G75-0.0244)/0.1678</f>
        <v>152.7151371</v>
      </c>
      <c r="J75" s="11">
        <f t="shared" si="136"/>
        <v>145.2657926</v>
      </c>
      <c r="K75" s="11">
        <f t="shared" si="128"/>
        <v>148.9904648</v>
      </c>
      <c r="L75" s="11">
        <f t="shared" ref="L75:M75" si="137">(($V$5-I75)/$V$5)*100</f>
        <v>43.93743601</v>
      </c>
      <c r="M75" s="11">
        <f t="shared" si="137"/>
        <v>46.6721312</v>
      </c>
      <c r="N75" s="14">
        <f t="shared" ref="N75:N76" si="142">(L75+M76)/2</f>
        <v>38.24667683</v>
      </c>
      <c r="O75" s="11">
        <f t="shared" si="131"/>
        <v>1.933721511</v>
      </c>
      <c r="P75" s="11">
        <f t="shared" ref="P75:Q75" si="138">(($V$5-I75)/C75)*0.02</f>
        <v>23.93722686</v>
      </c>
      <c r="Q75" s="11">
        <f t="shared" si="138"/>
        <v>25.42709575</v>
      </c>
      <c r="R75" s="11">
        <f t="shared" si="133"/>
        <v>24.6821613</v>
      </c>
      <c r="S75" s="11">
        <f t="shared" si="134"/>
        <v>1.053496396</v>
      </c>
    </row>
    <row r="76" ht="15.75" customHeight="1">
      <c r="B76" s="22">
        <v>400.0</v>
      </c>
      <c r="C76" s="43">
        <v>0.1</v>
      </c>
      <c r="D76" s="43">
        <v>0.1</v>
      </c>
      <c r="E76" s="20">
        <v>0.853</v>
      </c>
      <c r="F76" s="20">
        <v>0.825</v>
      </c>
      <c r="G76" s="11">
        <f t="shared" ref="G76:H76" si="139">E76*50</f>
        <v>42.65</v>
      </c>
      <c r="H76" s="11">
        <f t="shared" si="139"/>
        <v>41.25</v>
      </c>
      <c r="I76" s="11">
        <f t="shared" ref="I76:J76" si="140">(G76-0.0244)/0.1678</f>
        <v>254.0262217</v>
      </c>
      <c r="J76" s="11">
        <f t="shared" si="140"/>
        <v>245.6829559</v>
      </c>
      <c r="K76" s="72">
        <f t="shared" si="128"/>
        <v>249.8545888</v>
      </c>
      <c r="L76" s="11">
        <f t="shared" ref="L76:M76" si="141">(($V$6-I76)/$V$6)*100</f>
        <v>30.26555159</v>
      </c>
      <c r="M76" s="11">
        <f t="shared" si="141"/>
        <v>32.55591765</v>
      </c>
      <c r="N76" s="14">
        <f t="shared" si="142"/>
        <v>15.13277579</v>
      </c>
      <c r="O76" s="11">
        <f t="shared" si="131"/>
        <v>1.619533377</v>
      </c>
      <c r="P76" s="11">
        <f t="shared" ref="P76:Q76" si="143">(($V$6-I76)/C76)*0.02</f>
        <v>22.05005959</v>
      </c>
      <c r="Q76" s="11">
        <f t="shared" si="143"/>
        <v>23.71871275</v>
      </c>
      <c r="R76" s="11">
        <f t="shared" si="133"/>
        <v>22.88438617</v>
      </c>
      <c r="S76" s="11">
        <f t="shared" si="134"/>
        <v>1.179915964</v>
      </c>
    </row>
    <row r="77" ht="15.75" customHeight="1">
      <c r="B77" s="5"/>
      <c r="E77" s="60"/>
      <c r="F77" s="60"/>
      <c r="K77" s="61" t="s">
        <v>96</v>
      </c>
      <c r="R77" s="61"/>
    </row>
    <row r="78" ht="15.75" customHeight="1">
      <c r="B78" s="67" t="s">
        <v>85</v>
      </c>
      <c r="E78" s="60"/>
      <c r="F78" s="60"/>
      <c r="K78" s="61"/>
      <c r="R78" s="61"/>
    </row>
    <row r="79" ht="15.75" customHeight="1">
      <c r="B79" s="17" t="s">
        <v>75</v>
      </c>
      <c r="C79" s="27"/>
      <c r="D79" s="8"/>
      <c r="E79" s="60"/>
      <c r="F79" s="60"/>
      <c r="K79" s="61"/>
      <c r="R79" s="61"/>
    </row>
    <row r="80" ht="15.75" customHeight="1">
      <c r="B80" s="48" t="s">
        <v>70</v>
      </c>
      <c r="C80" s="49" t="s">
        <v>5</v>
      </c>
      <c r="D80" s="8"/>
      <c r="E80" s="68" t="s">
        <v>6</v>
      </c>
      <c r="F80" s="8"/>
      <c r="G80" s="49" t="s">
        <v>36</v>
      </c>
      <c r="H80" s="8"/>
      <c r="I80" s="49" t="s">
        <v>37</v>
      </c>
      <c r="J80" s="8"/>
      <c r="K80" s="50" t="s">
        <v>7</v>
      </c>
      <c r="L80" s="49" t="s">
        <v>9</v>
      </c>
      <c r="M80" s="8"/>
      <c r="N80" s="51" t="s">
        <v>10</v>
      </c>
      <c r="O80" s="50" t="s">
        <v>57</v>
      </c>
      <c r="P80" s="49" t="s">
        <v>11</v>
      </c>
      <c r="Q80" s="8"/>
      <c r="R80" s="50" t="s">
        <v>12</v>
      </c>
      <c r="S80" s="50" t="s">
        <v>57</v>
      </c>
    </row>
    <row r="81" ht="15.75" customHeight="1">
      <c r="B81" s="22">
        <v>100.0</v>
      </c>
      <c r="C81" s="43">
        <v>0.1</v>
      </c>
      <c r="D81" s="43">
        <v>0.1</v>
      </c>
      <c r="E81" s="20">
        <v>0.004</v>
      </c>
      <c r="F81" s="20">
        <v>0.009</v>
      </c>
      <c r="G81" s="11">
        <f t="shared" ref="G81:H81" si="144">E81*50</f>
        <v>0.2</v>
      </c>
      <c r="H81" s="11">
        <f t="shared" si="144"/>
        <v>0.45</v>
      </c>
      <c r="I81" s="11">
        <f t="shared" ref="I81:J81" si="145">(G81-0.0244)/0.1678</f>
        <v>1.046483909</v>
      </c>
      <c r="J81" s="11">
        <f t="shared" si="145"/>
        <v>2.536352801</v>
      </c>
      <c r="K81" s="11">
        <f t="shared" ref="K81:K84" si="150">(I81+J81)/2</f>
        <v>1.791418355</v>
      </c>
      <c r="L81" s="11">
        <f t="shared" ref="L81:M81" si="146">(($V$3-I81)/$V$3)*100</f>
        <v>98.84414878</v>
      </c>
      <c r="M81" s="11">
        <f t="shared" si="146"/>
        <v>97.19857471</v>
      </c>
      <c r="N81" s="14">
        <f t="shared" ref="N81:N84" si="152">(L81+M81)/2</f>
        <v>98.02136175</v>
      </c>
      <c r="O81" s="11">
        <f t="shared" ref="O81:O84" si="153">STDEV(L81:M81)</f>
        <v>1.16359658</v>
      </c>
      <c r="P81" s="11">
        <f t="shared" ref="P81:Q81" si="147">(($V$3-I81)/C81)*0.02</f>
        <v>17.89829162</v>
      </c>
      <c r="Q81" s="11">
        <f t="shared" si="147"/>
        <v>17.60031784</v>
      </c>
      <c r="R81" s="11">
        <f t="shared" ref="R81:R84" si="155">(P81+Q81)/2</f>
        <v>17.74930473</v>
      </c>
      <c r="S81" s="11">
        <f t="shared" ref="S81:S84" si="156">STDEV(P81:Q81)</f>
        <v>0.2106992793</v>
      </c>
    </row>
    <row r="82" ht="15.75" customHeight="1">
      <c r="B82" s="22">
        <v>200.0</v>
      </c>
      <c r="C82" s="43">
        <v>0.1</v>
      </c>
      <c r="D82" s="43">
        <v>0.1</v>
      </c>
      <c r="E82" s="20">
        <v>0.012</v>
      </c>
      <c r="F82" s="20">
        <v>0.018</v>
      </c>
      <c r="G82" s="11">
        <f t="shared" ref="G82:H82" si="148">E82*50</f>
        <v>0.6</v>
      </c>
      <c r="H82" s="11">
        <f t="shared" si="148"/>
        <v>0.9</v>
      </c>
      <c r="I82" s="11">
        <f t="shared" ref="I82:J82" si="149">(G82-0.0244)/0.1678</f>
        <v>3.430274136</v>
      </c>
      <c r="J82" s="11">
        <f t="shared" si="149"/>
        <v>5.218116806</v>
      </c>
      <c r="K82" s="11">
        <f t="shared" si="150"/>
        <v>4.324195471</v>
      </c>
      <c r="L82" s="11">
        <f t="shared" ref="L82:M82" si="151">(($V$4-I82)/$V$4)*100</f>
        <v>98.26933716</v>
      </c>
      <c r="M82" s="11">
        <f t="shared" si="151"/>
        <v>97.36732387</v>
      </c>
      <c r="N82" s="14">
        <f t="shared" si="152"/>
        <v>97.81833051</v>
      </c>
      <c r="O82" s="11">
        <f t="shared" si="153"/>
        <v>0.6378197167</v>
      </c>
      <c r="P82" s="11">
        <f t="shared" ref="P82:Q82" si="154">(($V$4-I82)/C82)*0.02</f>
        <v>38.95510528</v>
      </c>
      <c r="Q82" s="11">
        <f t="shared" si="154"/>
        <v>38.59753675</v>
      </c>
      <c r="R82" s="11">
        <f t="shared" si="155"/>
        <v>38.77632102</v>
      </c>
      <c r="S82" s="11">
        <f t="shared" si="156"/>
        <v>0.2528391351</v>
      </c>
    </row>
    <row r="83" ht="15.75" customHeight="1">
      <c r="B83" s="22">
        <v>300.0</v>
      </c>
      <c r="C83" s="43">
        <v>0.1</v>
      </c>
      <c r="D83" s="43">
        <v>0.1</v>
      </c>
      <c r="E83" s="20">
        <v>0.08</v>
      </c>
      <c r="F83" s="20">
        <v>0.071</v>
      </c>
      <c r="G83" s="11">
        <f t="shared" ref="G83:H83" si="157">E83*50</f>
        <v>4</v>
      </c>
      <c r="H83" s="11">
        <f t="shared" si="157"/>
        <v>3.55</v>
      </c>
      <c r="I83" s="11">
        <f t="shared" ref="I83:J83" si="158">(G83-0.0244)/0.1678</f>
        <v>23.69249106</v>
      </c>
      <c r="J83" s="11">
        <f t="shared" si="158"/>
        <v>21.01072706</v>
      </c>
      <c r="K83" s="11">
        <f t="shared" si="150"/>
        <v>22.35160906</v>
      </c>
      <c r="L83" s="11">
        <f t="shared" ref="L83:M83" si="159">(($V$5-I83)/$V$5)*100</f>
        <v>91.30235665</v>
      </c>
      <c r="M83" s="11">
        <f t="shared" si="159"/>
        <v>92.28684692</v>
      </c>
      <c r="N83" s="14">
        <f t="shared" si="152"/>
        <v>91.79460178</v>
      </c>
      <c r="O83" s="11">
        <f t="shared" si="153"/>
        <v>0.6961397441</v>
      </c>
      <c r="P83" s="11">
        <f t="shared" ref="P83:Q83" si="160">(($V$5-I83)/C83)*0.02</f>
        <v>49.74175606</v>
      </c>
      <c r="Q83" s="11">
        <f t="shared" si="160"/>
        <v>50.27810886</v>
      </c>
      <c r="R83" s="11">
        <f t="shared" si="155"/>
        <v>50.00993246</v>
      </c>
      <c r="S83" s="11">
        <f t="shared" si="156"/>
        <v>0.3792587027</v>
      </c>
    </row>
    <row r="84" ht="15.75" customHeight="1">
      <c r="B84" s="22">
        <v>400.0</v>
      </c>
      <c r="C84" s="43">
        <v>0.1</v>
      </c>
      <c r="D84" s="43">
        <v>0.1</v>
      </c>
      <c r="E84" s="20">
        <v>0.25</v>
      </c>
      <c r="F84" s="20">
        <v>0.267</v>
      </c>
      <c r="G84" s="11">
        <f t="shared" ref="G84:H84" si="161">E84*50</f>
        <v>12.5</v>
      </c>
      <c r="H84" s="11">
        <f t="shared" si="161"/>
        <v>13.35</v>
      </c>
      <c r="I84" s="11">
        <f t="shared" ref="I84:J84" si="162">(G84-0.0244)/0.1678</f>
        <v>74.34803337</v>
      </c>
      <c r="J84" s="11">
        <f t="shared" si="162"/>
        <v>79.4135876</v>
      </c>
      <c r="K84" s="72">
        <f t="shared" si="150"/>
        <v>76.88081049</v>
      </c>
      <c r="L84" s="11">
        <f t="shared" ref="L84:M84" si="163">(($V$6-I84)/$V$6)*100</f>
        <v>79.59022079</v>
      </c>
      <c r="M84" s="11">
        <f t="shared" si="163"/>
        <v>78.19964139</v>
      </c>
      <c r="N84" s="14">
        <f t="shared" si="152"/>
        <v>78.89493109</v>
      </c>
      <c r="O84" s="11">
        <f t="shared" si="153"/>
        <v>0.9832881215</v>
      </c>
      <c r="P84" s="11">
        <f t="shared" ref="P84:Q84" si="164">(($V$6-I84)/C84)*0.02</f>
        <v>57.98569726</v>
      </c>
      <c r="Q84" s="11">
        <f t="shared" si="164"/>
        <v>56.97258641</v>
      </c>
      <c r="R84" s="11">
        <f t="shared" si="155"/>
        <v>57.47914184</v>
      </c>
      <c r="S84" s="11">
        <f t="shared" si="156"/>
        <v>0.7163775495</v>
      </c>
    </row>
    <row r="85" ht="15.75" customHeight="1">
      <c r="B85" s="5"/>
      <c r="E85" s="60"/>
      <c r="F85" s="60"/>
      <c r="K85" s="61" t="s">
        <v>96</v>
      </c>
      <c r="R85" s="61"/>
    </row>
    <row r="86" ht="15.75" customHeight="1">
      <c r="B86" s="67" t="s">
        <v>85</v>
      </c>
      <c r="E86" s="60"/>
      <c r="F86" s="60"/>
      <c r="K86" s="61"/>
      <c r="R86" s="61"/>
    </row>
    <row r="87" ht="15.75" customHeight="1">
      <c r="B87" s="17" t="s">
        <v>76</v>
      </c>
      <c r="C87" s="27"/>
      <c r="D87" s="8"/>
      <c r="E87" s="60"/>
      <c r="F87" s="60"/>
      <c r="K87" s="61"/>
      <c r="R87" s="61"/>
    </row>
    <row r="88" ht="15.75" customHeight="1">
      <c r="B88" s="48" t="s">
        <v>70</v>
      </c>
      <c r="C88" s="49" t="s">
        <v>5</v>
      </c>
      <c r="D88" s="8"/>
      <c r="E88" s="68" t="s">
        <v>6</v>
      </c>
      <c r="F88" s="8"/>
      <c r="G88" s="49" t="s">
        <v>36</v>
      </c>
      <c r="H88" s="8"/>
      <c r="I88" s="49" t="s">
        <v>37</v>
      </c>
      <c r="J88" s="8"/>
      <c r="K88" s="50" t="s">
        <v>7</v>
      </c>
      <c r="L88" s="49" t="s">
        <v>9</v>
      </c>
      <c r="M88" s="8"/>
      <c r="N88" s="51" t="s">
        <v>10</v>
      </c>
      <c r="O88" s="50" t="s">
        <v>57</v>
      </c>
      <c r="P88" s="49" t="s">
        <v>11</v>
      </c>
      <c r="Q88" s="8"/>
      <c r="R88" s="50" t="s">
        <v>12</v>
      </c>
      <c r="S88" s="50" t="s">
        <v>57</v>
      </c>
    </row>
    <row r="89" ht="15.75" customHeight="1">
      <c r="B89" s="22">
        <v>100.0</v>
      </c>
      <c r="C89" s="43">
        <v>0.1</v>
      </c>
      <c r="D89" s="43">
        <v>0.1</v>
      </c>
      <c r="E89" s="20">
        <v>0.043</v>
      </c>
      <c r="F89" s="20">
        <v>0.058</v>
      </c>
      <c r="G89" s="11">
        <f t="shared" ref="G89:H89" si="165">E89*50</f>
        <v>2.15</v>
      </c>
      <c r="H89" s="11">
        <f t="shared" si="165"/>
        <v>2.9</v>
      </c>
      <c r="I89" s="11">
        <f t="shared" ref="I89:J89" si="166">(G89-0.0244)/0.1678</f>
        <v>12.66746126</v>
      </c>
      <c r="J89" s="11">
        <f t="shared" si="166"/>
        <v>17.13706794</v>
      </c>
      <c r="K89" s="11">
        <f t="shared" ref="K89:K92" si="171">(I89+J89)/2</f>
        <v>14.9022646</v>
      </c>
      <c r="L89" s="11">
        <f t="shared" ref="L89:M89" si="167">(($V$3-I89)/$V$3)*100</f>
        <v>86.00867108</v>
      </c>
      <c r="M89" s="11">
        <f t="shared" si="167"/>
        <v>81.07194889</v>
      </c>
      <c r="N89" s="14">
        <f t="shared" ref="N89:N92" si="173">(L89+M89)/2</f>
        <v>83.54030998</v>
      </c>
      <c r="O89" s="11">
        <f t="shared" ref="O89:O92" si="174">STDEV(L89:M89)</f>
        <v>3.490789739</v>
      </c>
      <c r="P89" s="11">
        <f t="shared" ref="P89:Q89" si="168">(($V$3-I89)/C89)*0.02</f>
        <v>15.57409615</v>
      </c>
      <c r="Q89" s="11">
        <f t="shared" si="168"/>
        <v>14.68017481</v>
      </c>
      <c r="R89" s="11">
        <f t="shared" ref="R89:R92" si="176">(P89+Q89)/2</f>
        <v>15.12713548</v>
      </c>
      <c r="S89" s="11">
        <f t="shared" ref="S89:S92" si="177">STDEV(P89:Q89)</f>
        <v>0.6320978378</v>
      </c>
    </row>
    <row r="90" ht="15.75" customHeight="1">
      <c r="B90" s="22">
        <v>200.0</v>
      </c>
      <c r="C90" s="43">
        <v>0.1</v>
      </c>
      <c r="D90" s="43">
        <v>0.1</v>
      </c>
      <c r="E90" s="20">
        <v>0.327</v>
      </c>
      <c r="F90" s="20">
        <v>0.326</v>
      </c>
      <c r="G90" s="11">
        <f t="shared" ref="G90:H90" si="169">E90*50</f>
        <v>16.35</v>
      </c>
      <c r="H90" s="11">
        <f t="shared" si="169"/>
        <v>16.3</v>
      </c>
      <c r="I90" s="11">
        <f t="shared" ref="I90:J90" si="170">(G90-0.0244)/0.1678</f>
        <v>97.2920143</v>
      </c>
      <c r="J90" s="11">
        <f t="shared" si="170"/>
        <v>96.99404052</v>
      </c>
      <c r="K90" s="11">
        <f t="shared" si="171"/>
        <v>97.14302741</v>
      </c>
      <c r="L90" s="11">
        <f t="shared" ref="L90:M90" si="172">(($V$4-I90)/$V$4)*100</f>
        <v>50.91363924</v>
      </c>
      <c r="M90" s="11">
        <f t="shared" si="172"/>
        <v>51.06397479</v>
      </c>
      <c r="N90" s="14">
        <f t="shared" si="173"/>
        <v>50.98880702</v>
      </c>
      <c r="O90" s="11">
        <f t="shared" si="174"/>
        <v>0.1063032861</v>
      </c>
      <c r="P90" s="11">
        <f t="shared" ref="P90:Q90" si="175">(($V$4-I90)/C90)*0.02</f>
        <v>20.18275725</v>
      </c>
      <c r="Q90" s="11">
        <f t="shared" si="175"/>
        <v>20.24235201</v>
      </c>
      <c r="R90" s="11">
        <f t="shared" si="176"/>
        <v>20.21255463</v>
      </c>
      <c r="S90" s="11">
        <f t="shared" si="177"/>
        <v>0.04213985585</v>
      </c>
    </row>
    <row r="91" ht="15.75" customHeight="1">
      <c r="B91" s="22">
        <v>300.0</v>
      </c>
      <c r="C91" s="43">
        <v>0.1</v>
      </c>
      <c r="D91" s="43">
        <v>0.1</v>
      </c>
      <c r="E91" s="20">
        <v>0.652</v>
      </c>
      <c r="F91" s="20">
        <v>0.666</v>
      </c>
      <c r="G91" s="11">
        <f t="shared" ref="G91:H91" si="178">E91*50</f>
        <v>32.6</v>
      </c>
      <c r="H91" s="11">
        <f t="shared" si="178"/>
        <v>33.3</v>
      </c>
      <c r="I91" s="11">
        <v>150.0</v>
      </c>
      <c r="J91" s="11">
        <v>132.0</v>
      </c>
      <c r="K91" s="11">
        <f t="shared" si="171"/>
        <v>141</v>
      </c>
      <c r="L91" s="11">
        <f t="shared" ref="L91:M91" si="179">(($V$5-I91)/$V$5)*100</f>
        <v>44.93417771</v>
      </c>
      <c r="M91" s="11">
        <f t="shared" si="179"/>
        <v>51.54207638</v>
      </c>
      <c r="N91" s="14">
        <f t="shared" si="173"/>
        <v>48.23812705</v>
      </c>
      <c r="O91" s="11">
        <f t="shared" si="174"/>
        <v>4.672489962</v>
      </c>
      <c r="P91" s="11">
        <f t="shared" ref="P91:Q91" si="180">(($V$5-I91)/C91)*0.02</f>
        <v>24.48025427</v>
      </c>
      <c r="Q91" s="11">
        <f t="shared" si="180"/>
        <v>28.08025427</v>
      </c>
      <c r="R91" s="11">
        <f t="shared" si="176"/>
        <v>26.28025427</v>
      </c>
      <c r="S91" s="11">
        <f t="shared" si="177"/>
        <v>2.545584412</v>
      </c>
    </row>
    <row r="92" ht="15.75" customHeight="1">
      <c r="B92" s="22">
        <v>400.0</v>
      </c>
      <c r="C92" s="43">
        <v>0.1</v>
      </c>
      <c r="D92" s="43">
        <v>0.1</v>
      </c>
      <c r="E92" s="20">
        <v>1.032</v>
      </c>
      <c r="F92" s="20">
        <v>1.011</v>
      </c>
      <c r="G92" s="11">
        <f t="shared" ref="G92:H92" si="181">E92*50</f>
        <v>51.6</v>
      </c>
      <c r="H92" s="11">
        <f t="shared" si="181"/>
        <v>50.55</v>
      </c>
      <c r="I92" s="11">
        <v>200.0</v>
      </c>
      <c r="J92" s="11">
        <v>229.0</v>
      </c>
      <c r="K92" s="11">
        <f t="shared" si="171"/>
        <v>214.5</v>
      </c>
      <c r="L92" s="11">
        <f t="shared" ref="L92:M92" si="182">(($V$6-I92)/$V$6)*100</f>
        <v>45.09665345</v>
      </c>
      <c r="M92" s="11">
        <f t="shared" si="182"/>
        <v>37.1356682</v>
      </c>
      <c r="N92" s="14">
        <f t="shared" si="173"/>
        <v>41.11616082</v>
      </c>
      <c r="O92" s="11">
        <f t="shared" si="174"/>
        <v>5.629266655</v>
      </c>
      <c r="P92" s="11">
        <f t="shared" ref="P92:Q92" si="183">(($V$6-I92)/C92)*0.02</f>
        <v>32.85530393</v>
      </c>
      <c r="Q92" s="11">
        <f t="shared" si="183"/>
        <v>27.05530393</v>
      </c>
      <c r="R92" s="11">
        <f t="shared" si="176"/>
        <v>29.95530393</v>
      </c>
      <c r="S92" s="11">
        <f t="shared" si="177"/>
        <v>4.101219331</v>
      </c>
    </row>
    <row r="93" ht="15.75" customHeight="1">
      <c r="B93" s="5"/>
      <c r="E93" s="60"/>
      <c r="F93" s="60"/>
      <c r="K93" s="61"/>
      <c r="R93" s="61"/>
    </row>
    <row r="94" ht="15.75" customHeight="1">
      <c r="B94" s="5"/>
      <c r="E94" s="60"/>
      <c r="F94" s="60"/>
      <c r="K94" s="61"/>
      <c r="R94" s="61"/>
    </row>
    <row r="95" ht="15.75" customHeight="1">
      <c r="B95" s="5"/>
      <c r="E95" s="60"/>
      <c r="F95" s="60"/>
      <c r="K95" s="61"/>
      <c r="R95" s="61"/>
    </row>
    <row r="96" ht="15.75" customHeight="1">
      <c r="B96" s="5"/>
      <c r="E96" s="60"/>
      <c r="F96" s="60"/>
      <c r="K96" s="61"/>
      <c r="R96" s="61"/>
    </row>
    <row r="97" ht="15.75" customHeight="1">
      <c r="B97" s="5"/>
      <c r="E97" s="60"/>
      <c r="F97" s="60"/>
      <c r="K97" s="61"/>
      <c r="R97" s="61"/>
    </row>
    <row r="98" ht="15.75" customHeight="1">
      <c r="B98" s="5"/>
      <c r="E98" s="60"/>
      <c r="F98" s="60"/>
      <c r="K98" s="61"/>
      <c r="R98" s="61"/>
    </row>
    <row r="99" ht="15.75" customHeight="1">
      <c r="B99" s="5"/>
      <c r="E99" s="60"/>
      <c r="F99" s="60"/>
      <c r="K99" s="61"/>
      <c r="R99" s="61"/>
    </row>
    <row r="100" ht="15.75" customHeight="1">
      <c r="B100" s="5"/>
      <c r="E100" s="60"/>
      <c r="F100" s="60"/>
      <c r="K100" s="61"/>
      <c r="R100" s="61"/>
    </row>
    <row r="101" ht="15.75" customHeight="1">
      <c r="B101" s="5"/>
      <c r="E101" s="60"/>
      <c r="F101" s="60"/>
      <c r="K101" s="61"/>
      <c r="R101" s="61"/>
    </row>
    <row r="102" ht="15.75" customHeight="1">
      <c r="B102" s="5"/>
      <c r="E102" s="60"/>
      <c r="F102" s="60"/>
      <c r="K102" s="61"/>
      <c r="R102" s="61"/>
    </row>
    <row r="103" ht="15.75" customHeight="1">
      <c r="B103" s="5"/>
      <c r="E103" s="60"/>
      <c r="F103" s="60"/>
      <c r="K103" s="61"/>
      <c r="R103" s="61"/>
    </row>
    <row r="104" ht="15.75" customHeight="1">
      <c r="B104" s="5"/>
      <c r="E104" s="60"/>
      <c r="F104" s="60"/>
      <c r="K104" s="61"/>
      <c r="R104" s="61"/>
    </row>
    <row r="105" ht="15.75" customHeight="1">
      <c r="B105" s="5"/>
      <c r="E105" s="60"/>
      <c r="F105" s="60"/>
      <c r="K105" s="61"/>
      <c r="R105" s="61"/>
    </row>
    <row r="106" ht="15.75" customHeight="1">
      <c r="B106" s="5"/>
      <c r="E106" s="60"/>
      <c r="F106" s="60"/>
      <c r="K106" s="61"/>
      <c r="R106" s="61"/>
    </row>
    <row r="107" ht="15.75" customHeight="1">
      <c r="B107" s="5"/>
      <c r="E107" s="60"/>
      <c r="F107" s="60"/>
      <c r="K107" s="61"/>
      <c r="R107" s="61"/>
    </row>
    <row r="108" ht="15.75" customHeight="1">
      <c r="B108" s="5"/>
      <c r="E108" s="60"/>
      <c r="F108" s="60"/>
      <c r="K108" s="61"/>
      <c r="R108" s="61"/>
    </row>
    <row r="109" ht="15.75" customHeight="1">
      <c r="B109" s="5"/>
      <c r="E109" s="60"/>
      <c r="F109" s="60"/>
      <c r="K109" s="61"/>
      <c r="R109" s="61"/>
    </row>
    <row r="110" ht="15.75" customHeight="1">
      <c r="B110" s="5"/>
      <c r="E110" s="60"/>
      <c r="F110" s="60"/>
      <c r="K110" s="61"/>
      <c r="R110" s="61"/>
    </row>
    <row r="111" ht="15.75" customHeight="1">
      <c r="B111" s="5"/>
      <c r="E111" s="60"/>
      <c r="F111" s="60"/>
      <c r="K111" s="61"/>
      <c r="R111" s="61"/>
    </row>
    <row r="112" ht="15.75" customHeight="1">
      <c r="B112" s="5"/>
      <c r="E112" s="60"/>
      <c r="F112" s="60"/>
      <c r="K112" s="61"/>
      <c r="R112" s="61"/>
    </row>
    <row r="113" ht="15.75" customHeight="1">
      <c r="B113" s="5"/>
      <c r="E113" s="60"/>
      <c r="F113" s="60"/>
      <c r="K113" s="61"/>
      <c r="R113" s="61"/>
    </row>
    <row r="114" ht="15.75" customHeight="1">
      <c r="B114" s="5"/>
      <c r="E114" s="60"/>
      <c r="F114" s="60"/>
      <c r="K114" s="61"/>
      <c r="R114" s="61"/>
    </row>
    <row r="115" ht="15.75" customHeight="1">
      <c r="B115" s="5"/>
      <c r="E115" s="60"/>
      <c r="F115" s="60"/>
      <c r="K115" s="61"/>
      <c r="R115" s="61"/>
    </row>
    <row r="116" ht="15.75" customHeight="1">
      <c r="B116" s="5"/>
      <c r="E116" s="60"/>
      <c r="F116" s="60"/>
      <c r="K116" s="61"/>
      <c r="R116" s="61"/>
    </row>
    <row r="117" ht="15.75" customHeight="1">
      <c r="B117" s="5"/>
      <c r="E117" s="60"/>
      <c r="F117" s="60"/>
      <c r="K117" s="61"/>
      <c r="R117" s="61"/>
    </row>
    <row r="118" ht="15.75" customHeight="1">
      <c r="B118" s="5"/>
      <c r="E118" s="60"/>
      <c r="F118" s="60"/>
      <c r="K118" s="61"/>
      <c r="R118" s="61"/>
    </row>
    <row r="119" ht="15.75" customHeight="1">
      <c r="B119" s="5"/>
      <c r="E119" s="60"/>
      <c r="F119" s="60"/>
      <c r="K119" s="61"/>
      <c r="R119" s="61"/>
    </row>
    <row r="120" ht="15.75" customHeight="1">
      <c r="B120" s="5"/>
      <c r="E120" s="60"/>
      <c r="F120" s="60"/>
      <c r="K120" s="61"/>
      <c r="R120" s="61"/>
    </row>
    <row r="121" ht="15.75" customHeight="1">
      <c r="B121" s="5"/>
      <c r="E121" s="60"/>
      <c r="F121" s="60"/>
      <c r="K121" s="61"/>
      <c r="R121" s="61"/>
    </row>
    <row r="122" ht="15.75" customHeight="1">
      <c r="B122" s="5"/>
      <c r="E122" s="60"/>
      <c r="F122" s="60"/>
      <c r="K122" s="61"/>
      <c r="R122" s="61"/>
    </row>
    <row r="123" ht="15.75" customHeight="1">
      <c r="B123" s="5"/>
      <c r="E123" s="60"/>
      <c r="F123" s="60"/>
      <c r="K123" s="61"/>
      <c r="R123" s="61"/>
    </row>
    <row r="124" ht="15.75" customHeight="1">
      <c r="B124" s="5"/>
      <c r="E124" s="60"/>
      <c r="F124" s="60"/>
      <c r="K124" s="61"/>
      <c r="R124" s="61"/>
    </row>
    <row r="125" ht="15.75" customHeight="1">
      <c r="B125" s="5"/>
      <c r="E125" s="60"/>
      <c r="F125" s="60"/>
      <c r="K125" s="61"/>
      <c r="R125" s="61"/>
    </row>
    <row r="126" ht="15.75" customHeight="1">
      <c r="B126" s="5"/>
      <c r="E126" s="60"/>
      <c r="F126" s="60"/>
      <c r="K126" s="61"/>
      <c r="R126" s="61"/>
    </row>
    <row r="127" ht="15.75" customHeight="1">
      <c r="B127" s="5"/>
      <c r="E127" s="60"/>
      <c r="F127" s="60"/>
      <c r="K127" s="61"/>
      <c r="R127" s="61"/>
    </row>
    <row r="128" ht="15.75" customHeight="1">
      <c r="B128" s="5"/>
      <c r="E128" s="60"/>
      <c r="F128" s="60"/>
      <c r="K128" s="61"/>
      <c r="R128" s="61"/>
    </row>
    <row r="129" ht="15.75" customHeight="1">
      <c r="B129" s="5"/>
      <c r="E129" s="60"/>
      <c r="F129" s="60"/>
      <c r="K129" s="61"/>
      <c r="R129" s="61"/>
    </row>
    <row r="130" ht="15.75" customHeight="1">
      <c r="B130" s="5"/>
      <c r="E130" s="60"/>
      <c r="F130" s="60"/>
      <c r="K130" s="61"/>
      <c r="R130" s="61"/>
    </row>
    <row r="131" ht="15.75" customHeight="1">
      <c r="B131" s="5"/>
      <c r="E131" s="60"/>
      <c r="F131" s="60"/>
      <c r="K131" s="61"/>
      <c r="R131" s="61"/>
    </row>
    <row r="132" ht="15.75" customHeight="1">
      <c r="B132" s="5"/>
      <c r="E132" s="60"/>
      <c r="F132" s="60"/>
      <c r="K132" s="61"/>
      <c r="R132" s="61"/>
    </row>
    <row r="133" ht="15.75" customHeight="1">
      <c r="B133" s="5"/>
      <c r="E133" s="60"/>
      <c r="F133" s="60"/>
      <c r="K133" s="61"/>
      <c r="R133" s="61"/>
    </row>
    <row r="134" ht="15.75" customHeight="1">
      <c r="B134" s="5"/>
      <c r="E134" s="60"/>
      <c r="F134" s="60"/>
      <c r="K134" s="61"/>
      <c r="R134" s="61"/>
    </row>
    <row r="135" ht="15.75" customHeight="1">
      <c r="B135" s="5"/>
      <c r="E135" s="60"/>
      <c r="F135" s="60"/>
      <c r="K135" s="61"/>
      <c r="R135" s="61"/>
    </row>
    <row r="136" ht="15.75" customHeight="1">
      <c r="B136" s="5"/>
      <c r="E136" s="60"/>
      <c r="F136" s="60"/>
      <c r="K136" s="61"/>
      <c r="R136" s="61"/>
    </row>
    <row r="137" ht="15.75" customHeight="1">
      <c r="B137" s="5"/>
      <c r="E137" s="60"/>
      <c r="F137" s="60"/>
      <c r="K137" s="61"/>
      <c r="R137" s="61"/>
    </row>
    <row r="138" ht="15.75" customHeight="1">
      <c r="B138" s="5"/>
      <c r="E138" s="60"/>
      <c r="F138" s="60"/>
      <c r="K138" s="61"/>
      <c r="R138" s="61"/>
    </row>
    <row r="139" ht="15.75" customHeight="1">
      <c r="B139" s="5"/>
      <c r="E139" s="60"/>
      <c r="F139" s="60"/>
      <c r="K139" s="61"/>
      <c r="R139" s="61"/>
    </row>
    <row r="140" ht="15.75" customHeight="1">
      <c r="B140" s="5"/>
      <c r="E140" s="60"/>
      <c r="F140" s="60"/>
      <c r="K140" s="61"/>
      <c r="R140" s="61"/>
    </row>
    <row r="141" ht="15.75" customHeight="1">
      <c r="B141" s="5"/>
      <c r="E141" s="60"/>
      <c r="F141" s="60"/>
      <c r="K141" s="61"/>
      <c r="R141" s="61"/>
    </row>
    <row r="142" ht="15.75" customHeight="1">
      <c r="B142" s="5"/>
      <c r="E142" s="60"/>
      <c r="F142" s="60"/>
      <c r="K142" s="61"/>
      <c r="R142" s="61"/>
    </row>
    <row r="143" ht="15.75" customHeight="1">
      <c r="B143" s="5"/>
      <c r="E143" s="60"/>
      <c r="F143" s="60"/>
      <c r="K143" s="61"/>
      <c r="R143" s="61"/>
    </row>
    <row r="144" ht="15.75" customHeight="1">
      <c r="B144" s="5"/>
      <c r="E144" s="60"/>
      <c r="F144" s="60"/>
      <c r="K144" s="61"/>
      <c r="R144" s="61"/>
    </row>
    <row r="145" ht="15.75" customHeight="1">
      <c r="B145" s="5"/>
      <c r="E145" s="60"/>
      <c r="F145" s="60"/>
      <c r="K145" s="61"/>
      <c r="R145" s="61"/>
    </row>
    <row r="146" ht="15.75" customHeight="1">
      <c r="B146" s="5"/>
      <c r="E146" s="60"/>
      <c r="F146" s="60"/>
      <c r="K146" s="61"/>
      <c r="R146" s="61"/>
    </row>
    <row r="147" ht="15.75" customHeight="1">
      <c r="B147" s="5"/>
      <c r="E147" s="60"/>
      <c r="F147" s="60"/>
      <c r="K147" s="61"/>
      <c r="R147" s="61"/>
    </row>
    <row r="148" ht="15.75" customHeight="1">
      <c r="B148" s="5"/>
      <c r="E148" s="60"/>
      <c r="F148" s="60"/>
      <c r="K148" s="61"/>
      <c r="R148" s="61"/>
    </row>
    <row r="149" ht="15.75" customHeight="1">
      <c r="B149" s="5"/>
      <c r="E149" s="60"/>
      <c r="F149" s="60"/>
      <c r="K149" s="61"/>
      <c r="R149" s="61"/>
    </row>
    <row r="150" ht="15.75" customHeight="1">
      <c r="B150" s="5"/>
      <c r="E150" s="60"/>
      <c r="F150" s="60"/>
      <c r="K150" s="61"/>
      <c r="R150" s="61"/>
    </row>
    <row r="151" ht="15.75" customHeight="1">
      <c r="B151" s="5"/>
      <c r="E151" s="60"/>
      <c r="F151" s="60"/>
      <c r="K151" s="61"/>
      <c r="R151" s="61"/>
    </row>
    <row r="152" ht="15.75" customHeight="1">
      <c r="B152" s="5"/>
      <c r="E152" s="60"/>
      <c r="F152" s="60"/>
      <c r="K152" s="61"/>
      <c r="R152" s="61"/>
    </row>
    <row r="153" ht="15.75" customHeight="1">
      <c r="B153" s="5"/>
      <c r="E153" s="60"/>
      <c r="F153" s="60"/>
      <c r="K153" s="61"/>
      <c r="R153" s="61"/>
    </row>
    <row r="154" ht="15.75" customHeight="1">
      <c r="B154" s="5"/>
      <c r="E154" s="60"/>
      <c r="F154" s="60"/>
      <c r="K154" s="61"/>
      <c r="R154" s="61"/>
    </row>
    <row r="155" ht="15.75" customHeight="1">
      <c r="B155" s="5"/>
      <c r="E155" s="60"/>
      <c r="F155" s="60"/>
      <c r="K155" s="61"/>
      <c r="R155" s="61"/>
    </row>
    <row r="156" ht="15.75" customHeight="1">
      <c r="B156" s="5"/>
      <c r="E156" s="60"/>
      <c r="F156" s="60"/>
      <c r="K156" s="61"/>
      <c r="R156" s="61"/>
    </row>
    <row r="157" ht="15.75" customHeight="1">
      <c r="B157" s="5"/>
      <c r="E157" s="60"/>
      <c r="F157" s="60"/>
      <c r="K157" s="61"/>
      <c r="R157" s="61"/>
    </row>
    <row r="158" ht="15.75" customHeight="1">
      <c r="B158" s="5"/>
      <c r="E158" s="60"/>
      <c r="F158" s="60"/>
      <c r="K158" s="61"/>
      <c r="R158" s="61"/>
    </row>
    <row r="159" ht="15.75" customHeight="1">
      <c r="B159" s="5"/>
      <c r="E159" s="60"/>
      <c r="F159" s="60"/>
      <c r="K159" s="61"/>
      <c r="R159" s="61"/>
    </row>
    <row r="160" ht="15.75" customHeight="1">
      <c r="B160" s="5"/>
      <c r="E160" s="60"/>
      <c r="F160" s="60"/>
      <c r="K160" s="61"/>
      <c r="R160" s="61"/>
    </row>
    <row r="161" ht="15.75" customHeight="1">
      <c r="B161" s="5"/>
      <c r="E161" s="60"/>
      <c r="F161" s="60"/>
      <c r="K161" s="61"/>
      <c r="R161" s="61"/>
    </row>
    <row r="162" ht="15.75" customHeight="1">
      <c r="B162" s="5"/>
      <c r="E162" s="60"/>
      <c r="F162" s="60"/>
      <c r="K162" s="61"/>
      <c r="R162" s="61"/>
    </row>
    <row r="163" ht="15.75" customHeight="1">
      <c r="B163" s="5"/>
      <c r="E163" s="60"/>
      <c r="F163" s="60"/>
      <c r="K163" s="61"/>
      <c r="R163" s="61"/>
    </row>
    <row r="164" ht="15.75" customHeight="1">
      <c r="B164" s="5"/>
      <c r="E164" s="60"/>
      <c r="F164" s="60"/>
      <c r="K164" s="61"/>
      <c r="R164" s="61"/>
    </row>
    <row r="165" ht="15.75" customHeight="1">
      <c r="B165" s="5"/>
      <c r="E165" s="60"/>
      <c r="F165" s="60"/>
      <c r="K165" s="61"/>
      <c r="R165" s="61"/>
    </row>
    <row r="166" ht="15.75" customHeight="1">
      <c r="B166" s="5"/>
      <c r="E166" s="60"/>
      <c r="F166" s="60"/>
      <c r="K166" s="61"/>
      <c r="R166" s="61"/>
    </row>
    <row r="167" ht="15.75" customHeight="1">
      <c r="B167" s="5"/>
      <c r="E167" s="60"/>
      <c r="F167" s="60"/>
      <c r="K167" s="61"/>
      <c r="R167" s="61"/>
    </row>
    <row r="168" ht="15.75" customHeight="1">
      <c r="B168" s="5"/>
      <c r="E168" s="60"/>
      <c r="F168" s="60"/>
      <c r="K168" s="61"/>
      <c r="R168" s="61"/>
    </row>
    <row r="169" ht="15.75" customHeight="1">
      <c r="B169" s="5"/>
      <c r="E169" s="60"/>
      <c r="F169" s="60"/>
      <c r="K169" s="61"/>
      <c r="R169" s="61"/>
    </row>
    <row r="170" ht="15.75" customHeight="1">
      <c r="B170" s="5"/>
      <c r="E170" s="60"/>
      <c r="F170" s="60"/>
      <c r="K170" s="61"/>
      <c r="R170" s="61"/>
    </row>
    <row r="171" ht="15.75" customHeight="1">
      <c r="B171" s="5"/>
      <c r="E171" s="60"/>
      <c r="F171" s="60"/>
      <c r="K171" s="61"/>
      <c r="R171" s="61"/>
    </row>
    <row r="172" ht="15.75" customHeight="1">
      <c r="B172" s="5"/>
      <c r="E172" s="60"/>
      <c r="F172" s="60"/>
      <c r="K172" s="61"/>
      <c r="R172" s="61"/>
    </row>
    <row r="173" ht="15.75" customHeight="1">
      <c r="B173" s="5"/>
      <c r="E173" s="60"/>
      <c r="F173" s="60"/>
      <c r="K173" s="61"/>
      <c r="R173" s="61"/>
    </row>
    <row r="174" ht="15.75" customHeight="1">
      <c r="B174" s="5"/>
      <c r="E174" s="60"/>
      <c r="F174" s="60"/>
      <c r="K174" s="61"/>
      <c r="R174" s="61"/>
    </row>
    <row r="175" ht="15.75" customHeight="1">
      <c r="B175" s="5"/>
      <c r="E175" s="60"/>
      <c r="F175" s="60"/>
      <c r="K175" s="61"/>
      <c r="R175" s="61"/>
    </row>
    <row r="176" ht="15.75" customHeight="1">
      <c r="B176" s="5"/>
      <c r="E176" s="60"/>
      <c r="F176" s="60"/>
      <c r="K176" s="61"/>
      <c r="R176" s="61"/>
    </row>
    <row r="177" ht="15.75" customHeight="1">
      <c r="B177" s="5"/>
      <c r="E177" s="60"/>
      <c r="F177" s="60"/>
      <c r="K177" s="61"/>
      <c r="R177" s="61"/>
    </row>
    <row r="178" ht="15.75" customHeight="1">
      <c r="B178" s="5"/>
      <c r="E178" s="60"/>
      <c r="F178" s="60"/>
      <c r="K178" s="61"/>
      <c r="R178" s="61"/>
    </row>
    <row r="179" ht="15.75" customHeight="1">
      <c r="B179" s="5"/>
      <c r="E179" s="60"/>
      <c r="F179" s="60"/>
      <c r="K179" s="61"/>
      <c r="R179" s="61"/>
    </row>
    <row r="180" ht="15.75" customHeight="1">
      <c r="B180" s="5"/>
      <c r="E180" s="60"/>
      <c r="F180" s="60"/>
      <c r="K180" s="61"/>
      <c r="R180" s="61"/>
    </row>
    <row r="181" ht="15.75" customHeight="1">
      <c r="B181" s="5"/>
      <c r="E181" s="60"/>
      <c r="F181" s="60"/>
      <c r="K181" s="61"/>
      <c r="R181" s="61"/>
    </row>
    <row r="182" ht="15.75" customHeight="1">
      <c r="B182" s="5"/>
      <c r="E182" s="60"/>
      <c r="F182" s="60"/>
      <c r="K182" s="61"/>
      <c r="R182" s="61"/>
    </row>
    <row r="183" ht="15.75" customHeight="1">
      <c r="B183" s="5"/>
      <c r="E183" s="60"/>
      <c r="F183" s="60"/>
      <c r="K183" s="61"/>
      <c r="R183" s="61"/>
    </row>
    <row r="184" ht="15.75" customHeight="1">
      <c r="B184" s="5"/>
      <c r="E184" s="60"/>
      <c r="F184" s="60"/>
      <c r="K184" s="61"/>
      <c r="R184" s="61"/>
    </row>
    <row r="185" ht="15.75" customHeight="1">
      <c r="B185" s="5"/>
      <c r="E185" s="60"/>
      <c r="F185" s="60"/>
      <c r="K185" s="61"/>
      <c r="R185" s="61"/>
    </row>
    <row r="186" ht="15.75" customHeight="1">
      <c r="B186" s="5"/>
      <c r="E186" s="60"/>
      <c r="F186" s="60"/>
      <c r="K186" s="61"/>
      <c r="R186" s="61"/>
    </row>
    <row r="187" ht="15.75" customHeight="1">
      <c r="B187" s="5"/>
      <c r="E187" s="60"/>
      <c r="F187" s="60"/>
      <c r="K187" s="61"/>
      <c r="R187" s="61"/>
    </row>
    <row r="188" ht="15.75" customHeight="1">
      <c r="B188" s="5"/>
      <c r="E188" s="60"/>
      <c r="F188" s="60"/>
      <c r="K188" s="61"/>
      <c r="R188" s="61"/>
    </row>
    <row r="189" ht="15.75" customHeight="1">
      <c r="B189" s="5"/>
      <c r="E189" s="60"/>
      <c r="F189" s="60"/>
      <c r="K189" s="61"/>
      <c r="R189" s="61"/>
    </row>
    <row r="190" ht="15.75" customHeight="1">
      <c r="B190" s="5"/>
      <c r="E190" s="60"/>
      <c r="F190" s="60"/>
      <c r="K190" s="61"/>
      <c r="R190" s="61"/>
    </row>
    <row r="191" ht="15.75" customHeight="1">
      <c r="B191" s="5"/>
      <c r="E191" s="60"/>
      <c r="F191" s="60"/>
      <c r="K191" s="61"/>
      <c r="R191" s="61"/>
    </row>
    <row r="192" ht="15.75" customHeight="1">
      <c r="B192" s="5"/>
      <c r="E192" s="60"/>
      <c r="F192" s="60"/>
      <c r="K192" s="61"/>
      <c r="R192" s="61"/>
    </row>
    <row r="193" ht="15.75" customHeight="1">
      <c r="B193" s="5"/>
      <c r="E193" s="60"/>
      <c r="F193" s="60"/>
      <c r="K193" s="61"/>
      <c r="R193" s="61"/>
    </row>
    <row r="194" ht="15.75" customHeight="1">
      <c r="B194" s="5"/>
      <c r="E194" s="60"/>
      <c r="F194" s="60"/>
      <c r="K194" s="61"/>
      <c r="R194" s="61"/>
    </row>
    <row r="195" ht="15.75" customHeight="1">
      <c r="B195" s="5"/>
      <c r="E195" s="60"/>
      <c r="F195" s="60"/>
      <c r="K195" s="61"/>
      <c r="R195" s="61"/>
    </row>
    <row r="196" ht="15.75" customHeight="1">
      <c r="B196" s="5"/>
      <c r="E196" s="60"/>
      <c r="F196" s="60"/>
      <c r="K196" s="61"/>
      <c r="R196" s="61"/>
    </row>
    <row r="197" ht="15.75" customHeight="1">
      <c r="B197" s="5"/>
      <c r="E197" s="60"/>
      <c r="F197" s="60"/>
      <c r="K197" s="61"/>
      <c r="R197" s="61"/>
    </row>
    <row r="198" ht="15.75" customHeight="1">
      <c r="B198" s="5"/>
      <c r="E198" s="60"/>
      <c r="F198" s="60"/>
      <c r="K198" s="61"/>
      <c r="R198" s="61"/>
    </row>
    <row r="199" ht="15.75" customHeight="1">
      <c r="B199" s="5"/>
      <c r="E199" s="60"/>
      <c r="F199" s="60"/>
      <c r="K199" s="61"/>
      <c r="R199" s="61"/>
    </row>
    <row r="200" ht="15.75" customHeight="1">
      <c r="B200" s="5"/>
      <c r="E200" s="60"/>
      <c r="F200" s="60"/>
      <c r="K200" s="61"/>
      <c r="R200" s="61"/>
    </row>
    <row r="201" ht="15.75" customHeight="1">
      <c r="B201" s="5"/>
      <c r="E201" s="60"/>
      <c r="F201" s="60"/>
      <c r="K201" s="61"/>
      <c r="R201" s="61"/>
    </row>
    <row r="202" ht="15.75" customHeight="1">
      <c r="B202" s="5"/>
      <c r="E202" s="60"/>
      <c r="F202" s="60"/>
      <c r="K202" s="61"/>
      <c r="R202" s="61"/>
    </row>
    <row r="203" ht="15.75" customHeight="1">
      <c r="B203" s="5"/>
      <c r="E203" s="60"/>
      <c r="F203" s="60"/>
      <c r="K203" s="61"/>
      <c r="R203" s="61"/>
    </row>
    <row r="204" ht="15.75" customHeight="1">
      <c r="B204" s="5"/>
      <c r="E204" s="60"/>
      <c r="F204" s="60"/>
      <c r="K204" s="61"/>
      <c r="R204" s="61"/>
    </row>
    <row r="205" ht="15.75" customHeight="1">
      <c r="B205" s="5"/>
      <c r="E205" s="60"/>
      <c r="F205" s="60"/>
      <c r="K205" s="61"/>
      <c r="R205" s="61"/>
    </row>
    <row r="206" ht="15.75" customHeight="1">
      <c r="B206" s="5"/>
      <c r="E206" s="60"/>
      <c r="F206" s="60"/>
      <c r="K206" s="61"/>
      <c r="R206" s="61"/>
    </row>
    <row r="207" ht="15.75" customHeight="1">
      <c r="B207" s="5"/>
      <c r="E207" s="60"/>
      <c r="F207" s="60"/>
      <c r="K207" s="61"/>
      <c r="R207" s="61"/>
    </row>
    <row r="208" ht="15.75" customHeight="1">
      <c r="B208" s="5"/>
      <c r="E208" s="60"/>
      <c r="F208" s="60"/>
      <c r="K208" s="61"/>
      <c r="R208" s="61"/>
    </row>
    <row r="209" ht="15.75" customHeight="1">
      <c r="B209" s="5"/>
      <c r="E209" s="60"/>
      <c r="F209" s="60"/>
      <c r="K209" s="61"/>
      <c r="R209" s="61"/>
    </row>
    <row r="210" ht="15.75" customHeight="1">
      <c r="B210" s="5"/>
      <c r="E210" s="60"/>
      <c r="F210" s="60"/>
      <c r="K210" s="61"/>
      <c r="R210" s="61"/>
    </row>
    <row r="211" ht="15.75" customHeight="1">
      <c r="B211" s="5"/>
      <c r="E211" s="60"/>
      <c r="F211" s="60"/>
      <c r="K211" s="61"/>
      <c r="R211" s="61"/>
    </row>
    <row r="212" ht="15.75" customHeight="1">
      <c r="B212" s="5"/>
      <c r="E212" s="60"/>
      <c r="F212" s="60"/>
      <c r="K212" s="61"/>
      <c r="R212" s="61"/>
    </row>
    <row r="213" ht="15.75" customHeight="1">
      <c r="B213" s="5"/>
      <c r="E213" s="60"/>
      <c r="F213" s="60"/>
      <c r="K213" s="61"/>
      <c r="R213" s="61"/>
    </row>
    <row r="214" ht="15.75" customHeight="1">
      <c r="B214" s="5"/>
      <c r="E214" s="60"/>
      <c r="F214" s="60"/>
      <c r="K214" s="61"/>
      <c r="R214" s="61"/>
    </row>
    <row r="215" ht="15.75" customHeight="1">
      <c r="B215" s="5"/>
      <c r="E215" s="60"/>
      <c r="F215" s="60"/>
      <c r="K215" s="61"/>
      <c r="R215" s="61"/>
    </row>
    <row r="216" ht="15.75" customHeight="1">
      <c r="B216" s="5"/>
      <c r="E216" s="60"/>
      <c r="F216" s="60"/>
      <c r="K216" s="61"/>
      <c r="R216" s="61"/>
    </row>
    <row r="217" ht="15.75" customHeight="1">
      <c r="B217" s="5"/>
      <c r="E217" s="60"/>
      <c r="F217" s="60"/>
      <c r="K217" s="61"/>
      <c r="R217" s="61"/>
    </row>
    <row r="218" ht="15.75" customHeight="1">
      <c r="B218" s="5"/>
      <c r="E218" s="60"/>
      <c r="F218" s="60"/>
      <c r="K218" s="61"/>
      <c r="R218" s="61"/>
    </row>
    <row r="219" ht="15.75" customHeight="1">
      <c r="B219" s="5"/>
      <c r="E219" s="60"/>
      <c r="F219" s="60"/>
      <c r="K219" s="61"/>
      <c r="R219" s="61"/>
    </row>
    <row r="220" ht="15.75" customHeight="1">
      <c r="B220" s="5"/>
      <c r="E220" s="60"/>
      <c r="F220" s="60"/>
      <c r="K220" s="61"/>
      <c r="R220" s="61"/>
    </row>
    <row r="221" ht="15.75" customHeight="1">
      <c r="B221" s="5"/>
      <c r="E221" s="60"/>
      <c r="F221" s="60"/>
      <c r="K221" s="61"/>
      <c r="R221" s="61"/>
    </row>
    <row r="222" ht="15.75" customHeight="1">
      <c r="B222" s="5"/>
      <c r="E222" s="60"/>
      <c r="F222" s="60"/>
      <c r="K222" s="61"/>
      <c r="R222" s="61"/>
    </row>
    <row r="223" ht="15.75" customHeight="1">
      <c r="B223" s="5"/>
      <c r="E223" s="60"/>
      <c r="F223" s="60"/>
      <c r="K223" s="61"/>
      <c r="R223" s="61"/>
    </row>
    <row r="224" ht="15.75" customHeight="1">
      <c r="B224" s="5"/>
      <c r="E224" s="60"/>
      <c r="F224" s="60"/>
      <c r="K224" s="61"/>
      <c r="R224" s="61"/>
    </row>
    <row r="225" ht="15.75" customHeight="1">
      <c r="B225" s="5"/>
      <c r="E225" s="60"/>
      <c r="F225" s="60"/>
      <c r="K225" s="61"/>
      <c r="R225" s="61"/>
    </row>
    <row r="226" ht="15.75" customHeight="1">
      <c r="B226" s="5"/>
      <c r="E226" s="60"/>
      <c r="F226" s="60"/>
      <c r="K226" s="61"/>
      <c r="R226" s="61"/>
    </row>
    <row r="227" ht="15.75" customHeight="1">
      <c r="B227" s="5"/>
      <c r="E227" s="60"/>
      <c r="F227" s="60"/>
      <c r="K227" s="61"/>
      <c r="R227" s="61"/>
    </row>
    <row r="228" ht="15.75" customHeight="1">
      <c r="B228" s="5"/>
      <c r="E228" s="60"/>
      <c r="F228" s="60"/>
      <c r="K228" s="61"/>
      <c r="R228" s="61"/>
    </row>
    <row r="229" ht="15.75" customHeight="1">
      <c r="B229" s="5"/>
      <c r="E229" s="60"/>
      <c r="F229" s="60"/>
      <c r="K229" s="61"/>
      <c r="R229" s="61"/>
    </row>
    <row r="230" ht="15.75" customHeight="1">
      <c r="B230" s="5"/>
      <c r="E230" s="60"/>
      <c r="F230" s="60"/>
      <c r="K230" s="61"/>
      <c r="R230" s="61"/>
    </row>
    <row r="231" ht="15.75" customHeight="1">
      <c r="B231" s="5"/>
      <c r="E231" s="60"/>
      <c r="F231" s="60"/>
      <c r="K231" s="61"/>
      <c r="R231" s="61"/>
    </row>
    <row r="232" ht="15.75" customHeight="1">
      <c r="B232" s="5"/>
      <c r="E232" s="60"/>
      <c r="F232" s="60"/>
      <c r="K232" s="61"/>
      <c r="R232" s="61"/>
    </row>
    <row r="233" ht="15.75" customHeight="1">
      <c r="B233" s="5"/>
      <c r="E233" s="60"/>
      <c r="F233" s="60"/>
      <c r="K233" s="61"/>
      <c r="R233" s="61"/>
    </row>
    <row r="234" ht="15.75" customHeight="1">
      <c r="B234" s="5"/>
      <c r="E234" s="60"/>
      <c r="F234" s="60"/>
      <c r="K234" s="61"/>
      <c r="R234" s="61"/>
    </row>
    <row r="235" ht="15.75" customHeight="1">
      <c r="B235" s="5"/>
      <c r="E235" s="60"/>
      <c r="F235" s="60"/>
      <c r="K235" s="61"/>
      <c r="R235" s="61"/>
    </row>
    <row r="236" ht="15.75" customHeight="1">
      <c r="B236" s="5"/>
      <c r="E236" s="60"/>
      <c r="F236" s="60"/>
      <c r="K236" s="61"/>
      <c r="R236" s="61"/>
    </row>
    <row r="237" ht="15.75" customHeight="1">
      <c r="B237" s="5"/>
      <c r="E237" s="60"/>
      <c r="F237" s="60"/>
      <c r="K237" s="61"/>
      <c r="R237" s="61"/>
    </row>
    <row r="238" ht="15.75" customHeight="1">
      <c r="B238" s="5"/>
      <c r="E238" s="60"/>
      <c r="F238" s="60"/>
      <c r="K238" s="61"/>
      <c r="R238" s="61"/>
    </row>
    <row r="239" ht="15.75" customHeight="1">
      <c r="B239" s="5"/>
      <c r="E239" s="60"/>
      <c r="F239" s="60"/>
      <c r="K239" s="61"/>
      <c r="R239" s="61"/>
    </row>
    <row r="240" ht="15.75" customHeight="1">
      <c r="B240" s="5"/>
      <c r="E240" s="60"/>
      <c r="F240" s="60"/>
      <c r="K240" s="61"/>
      <c r="R240" s="61"/>
    </row>
    <row r="241" ht="15.75" customHeight="1">
      <c r="B241" s="5"/>
      <c r="E241" s="60"/>
      <c r="F241" s="60"/>
      <c r="K241" s="61"/>
      <c r="R241" s="61"/>
    </row>
    <row r="242" ht="15.75" customHeight="1">
      <c r="B242" s="5"/>
      <c r="E242" s="60"/>
      <c r="F242" s="60"/>
      <c r="K242" s="61"/>
      <c r="R242" s="61"/>
    </row>
    <row r="243" ht="15.75" customHeight="1">
      <c r="B243" s="5"/>
      <c r="E243" s="60"/>
      <c r="F243" s="60"/>
      <c r="K243" s="61"/>
      <c r="R243" s="61"/>
    </row>
    <row r="244" ht="15.75" customHeight="1">
      <c r="B244" s="5"/>
      <c r="E244" s="60"/>
      <c r="F244" s="60"/>
      <c r="K244" s="61"/>
      <c r="R244" s="61"/>
    </row>
    <row r="245" ht="15.75" customHeight="1">
      <c r="B245" s="5"/>
      <c r="E245" s="60"/>
      <c r="F245" s="60"/>
      <c r="K245" s="61"/>
      <c r="R245" s="61"/>
    </row>
    <row r="246" ht="15.75" customHeight="1">
      <c r="B246" s="5"/>
      <c r="E246" s="60"/>
      <c r="F246" s="60"/>
      <c r="K246" s="61"/>
      <c r="R246" s="61"/>
    </row>
    <row r="247" ht="15.75" customHeight="1">
      <c r="B247" s="5"/>
      <c r="E247" s="60"/>
      <c r="F247" s="60"/>
      <c r="K247" s="61"/>
      <c r="R247" s="61"/>
    </row>
    <row r="248" ht="15.75" customHeight="1">
      <c r="B248" s="5"/>
      <c r="E248" s="60"/>
      <c r="F248" s="60"/>
      <c r="K248" s="61"/>
      <c r="R248" s="61"/>
    </row>
    <row r="249" ht="15.75" customHeight="1">
      <c r="B249" s="5"/>
      <c r="E249" s="60"/>
      <c r="F249" s="60"/>
      <c r="K249" s="61"/>
      <c r="R249" s="61"/>
    </row>
    <row r="250" ht="15.75" customHeight="1">
      <c r="B250" s="5"/>
      <c r="E250" s="60"/>
      <c r="F250" s="60"/>
      <c r="K250" s="61"/>
      <c r="R250" s="61"/>
    </row>
    <row r="251" ht="15.75" customHeight="1">
      <c r="B251" s="5"/>
      <c r="E251" s="60"/>
      <c r="F251" s="60"/>
      <c r="K251" s="61"/>
      <c r="R251" s="61"/>
    </row>
    <row r="252" ht="15.75" customHeight="1">
      <c r="B252" s="5"/>
      <c r="E252" s="60"/>
      <c r="F252" s="60"/>
      <c r="K252" s="61"/>
      <c r="R252" s="61"/>
    </row>
    <row r="253" ht="15.75" customHeight="1">
      <c r="B253" s="5"/>
      <c r="E253" s="60"/>
      <c r="F253" s="60"/>
      <c r="K253" s="61"/>
      <c r="R253" s="61"/>
    </row>
    <row r="254" ht="15.75" customHeight="1">
      <c r="B254" s="5"/>
      <c r="E254" s="60"/>
      <c r="F254" s="60"/>
      <c r="K254" s="61"/>
      <c r="R254" s="61"/>
    </row>
    <row r="255" ht="15.75" customHeight="1">
      <c r="B255" s="5"/>
      <c r="E255" s="60"/>
      <c r="F255" s="60"/>
      <c r="K255" s="61"/>
      <c r="R255" s="61"/>
    </row>
    <row r="256" ht="15.75" customHeight="1">
      <c r="B256" s="5"/>
      <c r="E256" s="60"/>
      <c r="F256" s="60"/>
      <c r="K256" s="61"/>
      <c r="R256" s="61"/>
    </row>
    <row r="257" ht="15.75" customHeight="1">
      <c r="B257" s="5"/>
      <c r="E257" s="60"/>
      <c r="F257" s="60"/>
      <c r="K257" s="61"/>
      <c r="R257" s="61"/>
    </row>
    <row r="258" ht="15.75" customHeight="1">
      <c r="B258" s="5"/>
      <c r="E258" s="60"/>
      <c r="F258" s="60"/>
      <c r="K258" s="61"/>
      <c r="R258" s="61"/>
    </row>
    <row r="259" ht="15.75" customHeight="1">
      <c r="B259" s="5"/>
      <c r="E259" s="60"/>
      <c r="F259" s="60"/>
      <c r="K259" s="61"/>
      <c r="R259" s="61"/>
    </row>
    <row r="260" ht="15.75" customHeight="1">
      <c r="B260" s="5"/>
      <c r="E260" s="60"/>
      <c r="F260" s="60"/>
      <c r="K260" s="61"/>
      <c r="R260" s="61"/>
    </row>
    <row r="261" ht="15.75" customHeight="1">
      <c r="B261" s="5"/>
      <c r="E261" s="60"/>
      <c r="F261" s="60"/>
      <c r="K261" s="61"/>
      <c r="R261" s="61"/>
    </row>
    <row r="262" ht="15.75" customHeight="1">
      <c r="B262" s="5"/>
      <c r="E262" s="60"/>
      <c r="F262" s="60"/>
      <c r="K262" s="61"/>
      <c r="R262" s="61"/>
    </row>
    <row r="263" ht="15.75" customHeight="1">
      <c r="B263" s="5"/>
      <c r="E263" s="60"/>
      <c r="F263" s="60"/>
      <c r="K263" s="61"/>
      <c r="R263" s="61"/>
    </row>
    <row r="264" ht="15.75" customHeight="1">
      <c r="B264" s="5"/>
      <c r="E264" s="60"/>
      <c r="F264" s="60"/>
      <c r="K264" s="61"/>
      <c r="R264" s="61"/>
    </row>
    <row r="265" ht="15.75" customHeight="1">
      <c r="B265" s="5"/>
      <c r="E265" s="60"/>
      <c r="F265" s="60"/>
      <c r="K265" s="61"/>
      <c r="R265" s="61"/>
    </row>
    <row r="266" ht="15.75" customHeight="1">
      <c r="B266" s="5"/>
      <c r="E266" s="60"/>
      <c r="F266" s="60"/>
      <c r="K266" s="61"/>
      <c r="R266" s="61"/>
    </row>
    <row r="267" ht="15.75" customHeight="1">
      <c r="B267" s="5"/>
      <c r="E267" s="60"/>
      <c r="F267" s="60"/>
      <c r="K267" s="61"/>
      <c r="R267" s="61"/>
    </row>
    <row r="268" ht="15.75" customHeight="1">
      <c r="B268" s="5"/>
      <c r="E268" s="60"/>
      <c r="F268" s="60"/>
      <c r="K268" s="61"/>
      <c r="R268" s="61"/>
    </row>
    <row r="269" ht="15.75" customHeight="1">
      <c r="B269" s="5"/>
      <c r="E269" s="60"/>
      <c r="F269" s="60"/>
      <c r="K269" s="61"/>
      <c r="R269" s="61"/>
    </row>
    <row r="270" ht="15.75" customHeight="1">
      <c r="B270" s="5"/>
      <c r="E270" s="60"/>
      <c r="F270" s="60"/>
      <c r="K270" s="61"/>
      <c r="R270" s="61"/>
    </row>
    <row r="271" ht="15.75" customHeight="1">
      <c r="B271" s="5"/>
      <c r="E271" s="60"/>
      <c r="F271" s="60"/>
      <c r="K271" s="61"/>
      <c r="R271" s="61"/>
    </row>
    <row r="272" ht="15.75" customHeight="1">
      <c r="B272" s="5"/>
      <c r="E272" s="60"/>
      <c r="F272" s="60"/>
      <c r="K272" s="61"/>
      <c r="R272" s="61"/>
    </row>
    <row r="273" ht="15.75" customHeight="1">
      <c r="B273" s="5"/>
      <c r="E273" s="60"/>
      <c r="F273" s="60"/>
      <c r="K273" s="61"/>
      <c r="R273" s="61"/>
    </row>
    <row r="274" ht="15.75" customHeight="1">
      <c r="B274" s="5"/>
      <c r="E274" s="60"/>
      <c r="F274" s="60"/>
      <c r="K274" s="61"/>
      <c r="R274" s="61"/>
    </row>
    <row r="275" ht="15.75" customHeight="1">
      <c r="B275" s="5"/>
      <c r="E275" s="60"/>
      <c r="F275" s="60"/>
      <c r="K275" s="61"/>
      <c r="R275" s="61"/>
    </row>
    <row r="276" ht="15.75" customHeight="1">
      <c r="B276" s="5"/>
      <c r="E276" s="60"/>
      <c r="F276" s="60"/>
      <c r="K276" s="61"/>
      <c r="R276" s="61"/>
    </row>
    <row r="277" ht="15.75" customHeight="1">
      <c r="B277" s="5"/>
      <c r="E277" s="60"/>
      <c r="F277" s="60"/>
      <c r="K277" s="61"/>
      <c r="R277" s="61"/>
    </row>
    <row r="278" ht="15.75" customHeight="1">
      <c r="B278" s="5"/>
      <c r="E278" s="60"/>
      <c r="F278" s="60"/>
      <c r="K278" s="61"/>
      <c r="R278" s="61"/>
    </row>
    <row r="279" ht="15.75" customHeight="1">
      <c r="B279" s="5"/>
      <c r="E279" s="60"/>
      <c r="F279" s="60"/>
      <c r="K279" s="61"/>
      <c r="R279" s="61"/>
    </row>
    <row r="280" ht="15.75" customHeight="1">
      <c r="B280" s="5"/>
      <c r="E280" s="60"/>
      <c r="F280" s="60"/>
      <c r="K280" s="61"/>
      <c r="R280" s="61"/>
    </row>
    <row r="281" ht="15.75" customHeight="1">
      <c r="B281" s="5"/>
      <c r="E281" s="60"/>
      <c r="F281" s="60"/>
      <c r="K281" s="61"/>
      <c r="R281" s="61"/>
    </row>
    <row r="282" ht="15.75" customHeight="1">
      <c r="B282" s="5"/>
      <c r="E282" s="60"/>
      <c r="F282" s="60"/>
      <c r="K282" s="61"/>
      <c r="R282" s="61"/>
    </row>
    <row r="283" ht="15.75" customHeight="1">
      <c r="B283" s="5"/>
      <c r="E283" s="60"/>
      <c r="F283" s="60"/>
      <c r="K283" s="61"/>
      <c r="R283" s="61"/>
    </row>
    <row r="284" ht="15.75" customHeight="1">
      <c r="B284" s="5"/>
      <c r="E284" s="60"/>
      <c r="F284" s="60"/>
      <c r="K284" s="61"/>
      <c r="R284" s="61"/>
    </row>
    <row r="285" ht="15.75" customHeight="1">
      <c r="B285" s="5"/>
      <c r="E285" s="60"/>
      <c r="F285" s="60"/>
      <c r="K285" s="61"/>
      <c r="R285" s="61"/>
    </row>
    <row r="286" ht="15.75" customHeight="1">
      <c r="B286" s="5"/>
      <c r="E286" s="60"/>
      <c r="F286" s="60"/>
      <c r="K286" s="61"/>
      <c r="R286" s="61"/>
    </row>
    <row r="287" ht="15.75" customHeight="1">
      <c r="B287" s="5"/>
      <c r="E287" s="60"/>
      <c r="F287" s="60"/>
      <c r="K287" s="61"/>
      <c r="R287" s="61"/>
    </row>
    <row r="288" ht="15.75" customHeight="1">
      <c r="B288" s="5"/>
      <c r="E288" s="60"/>
      <c r="F288" s="60"/>
      <c r="K288" s="61"/>
      <c r="R288" s="61"/>
    </row>
    <row r="289" ht="15.75" customHeight="1">
      <c r="B289" s="5"/>
      <c r="E289" s="60"/>
      <c r="F289" s="60"/>
      <c r="K289" s="61"/>
      <c r="R289" s="61"/>
    </row>
    <row r="290" ht="15.75" customHeight="1">
      <c r="B290" s="5"/>
      <c r="E290" s="60"/>
      <c r="F290" s="60"/>
      <c r="K290" s="61"/>
      <c r="R290" s="61"/>
    </row>
    <row r="291" ht="15.75" customHeight="1">
      <c r="B291" s="5"/>
      <c r="E291" s="60"/>
      <c r="F291" s="60"/>
      <c r="K291" s="61"/>
      <c r="R291" s="61"/>
    </row>
    <row r="292" ht="15.75" customHeight="1">
      <c r="B292" s="5"/>
      <c r="E292" s="60"/>
      <c r="F292" s="60"/>
      <c r="K292" s="61"/>
      <c r="R292" s="61"/>
    </row>
    <row r="293" ht="15.75" customHeight="1">
      <c r="B293" s="5"/>
      <c r="E293" s="60"/>
      <c r="F293" s="60"/>
      <c r="K293" s="61"/>
      <c r="R293" s="61"/>
    </row>
    <row r="294" ht="15.75" customHeight="1">
      <c r="B294" s="5"/>
      <c r="E294" s="60"/>
      <c r="F294" s="60"/>
      <c r="K294" s="61"/>
      <c r="R294" s="61"/>
    </row>
    <row r="295" ht="15.75" customHeight="1">
      <c r="B295" s="5"/>
      <c r="E295" s="60"/>
      <c r="F295" s="60"/>
      <c r="K295" s="61"/>
      <c r="R295" s="61"/>
    </row>
    <row r="296" ht="15.75" customHeight="1">
      <c r="B296" s="5"/>
      <c r="E296" s="60"/>
      <c r="F296" s="60"/>
      <c r="K296" s="61"/>
      <c r="R296" s="61"/>
    </row>
    <row r="297" ht="15.75" customHeight="1">
      <c r="B297" s="5"/>
      <c r="E297" s="60"/>
      <c r="F297" s="60"/>
      <c r="K297" s="61"/>
      <c r="R297" s="61"/>
    </row>
    <row r="298" ht="15.75" customHeight="1">
      <c r="B298" s="5"/>
      <c r="E298" s="60"/>
      <c r="F298" s="60"/>
      <c r="K298" s="61"/>
      <c r="R298" s="61"/>
    </row>
    <row r="299" ht="15.75" customHeight="1">
      <c r="B299" s="5"/>
      <c r="E299" s="60"/>
      <c r="F299" s="60"/>
      <c r="K299" s="61"/>
      <c r="R299" s="61"/>
    </row>
    <row r="300" ht="15.75" customHeight="1">
      <c r="B300" s="5"/>
      <c r="E300" s="60"/>
      <c r="F300" s="60"/>
      <c r="K300" s="61"/>
      <c r="R300" s="61"/>
    </row>
    <row r="301" ht="15.75" customHeight="1">
      <c r="B301" s="5"/>
      <c r="E301" s="60"/>
      <c r="F301" s="60"/>
      <c r="K301" s="61"/>
      <c r="R301" s="61"/>
    </row>
    <row r="302" ht="15.75" customHeight="1">
      <c r="B302" s="5"/>
      <c r="E302" s="60"/>
      <c r="F302" s="60"/>
      <c r="K302" s="61"/>
      <c r="R302" s="61"/>
    </row>
    <row r="303" ht="15.75" customHeight="1">
      <c r="B303" s="5"/>
      <c r="E303" s="60"/>
      <c r="F303" s="60"/>
      <c r="K303" s="61"/>
      <c r="R303" s="61"/>
    </row>
    <row r="304" ht="15.75" customHeight="1">
      <c r="B304" s="5"/>
      <c r="E304" s="60"/>
      <c r="F304" s="60"/>
      <c r="K304" s="61"/>
      <c r="R304" s="61"/>
    </row>
    <row r="305" ht="15.75" customHeight="1">
      <c r="B305" s="5"/>
      <c r="E305" s="60"/>
      <c r="F305" s="60"/>
      <c r="K305" s="61"/>
      <c r="R305" s="61"/>
    </row>
    <row r="306" ht="15.75" customHeight="1">
      <c r="B306" s="5"/>
      <c r="E306" s="60"/>
      <c r="F306" s="60"/>
      <c r="K306" s="61"/>
      <c r="R306" s="61"/>
    </row>
    <row r="307" ht="15.75" customHeight="1">
      <c r="B307" s="5"/>
      <c r="E307" s="60"/>
      <c r="F307" s="60"/>
      <c r="K307" s="61"/>
      <c r="R307" s="61"/>
    </row>
    <row r="308" ht="15.75" customHeight="1">
      <c r="B308" s="5"/>
      <c r="E308" s="60"/>
      <c r="F308" s="60"/>
      <c r="K308" s="61"/>
      <c r="R308" s="61"/>
    </row>
    <row r="309" ht="15.75" customHeight="1">
      <c r="B309" s="5"/>
      <c r="E309" s="60"/>
      <c r="F309" s="60"/>
      <c r="K309" s="61"/>
      <c r="R309" s="61"/>
    </row>
    <row r="310" ht="15.75" customHeight="1">
      <c r="B310" s="5"/>
      <c r="E310" s="60"/>
      <c r="F310" s="60"/>
      <c r="K310" s="61"/>
      <c r="R310" s="61"/>
    </row>
    <row r="311" ht="15.75" customHeight="1">
      <c r="B311" s="5"/>
      <c r="E311" s="60"/>
      <c r="F311" s="60"/>
      <c r="K311" s="61"/>
      <c r="R311" s="61"/>
    </row>
    <row r="312" ht="15.75" customHeight="1">
      <c r="B312" s="5"/>
      <c r="E312" s="60"/>
      <c r="F312" s="60"/>
      <c r="K312" s="61"/>
      <c r="R312" s="61"/>
    </row>
    <row r="313" ht="15.75" customHeight="1">
      <c r="B313" s="5"/>
      <c r="E313" s="60"/>
      <c r="F313" s="60"/>
      <c r="K313" s="61"/>
      <c r="R313" s="61"/>
    </row>
    <row r="314" ht="15.75" customHeight="1">
      <c r="B314" s="5"/>
      <c r="E314" s="60"/>
      <c r="F314" s="60"/>
      <c r="K314" s="61"/>
      <c r="R314" s="61"/>
    </row>
    <row r="315" ht="15.75" customHeight="1">
      <c r="B315" s="5"/>
      <c r="E315" s="60"/>
      <c r="F315" s="60"/>
      <c r="K315" s="61"/>
      <c r="R315" s="61"/>
    </row>
    <row r="316" ht="15.75" customHeight="1">
      <c r="B316" s="5"/>
      <c r="E316" s="60"/>
      <c r="F316" s="60"/>
      <c r="K316" s="61"/>
      <c r="R316" s="61"/>
    </row>
    <row r="317" ht="15.75" customHeight="1">
      <c r="B317" s="5"/>
      <c r="E317" s="60"/>
      <c r="F317" s="60"/>
      <c r="K317" s="61"/>
      <c r="R317" s="61"/>
    </row>
    <row r="318" ht="15.75" customHeight="1">
      <c r="B318" s="5"/>
      <c r="E318" s="60"/>
      <c r="F318" s="60"/>
      <c r="K318" s="61"/>
      <c r="R318" s="61"/>
    </row>
    <row r="319" ht="15.75" customHeight="1">
      <c r="B319" s="5"/>
      <c r="E319" s="60"/>
      <c r="F319" s="60"/>
      <c r="K319" s="61"/>
      <c r="R319" s="61"/>
    </row>
    <row r="320" ht="15.75" customHeight="1">
      <c r="B320" s="5"/>
      <c r="E320" s="60"/>
      <c r="F320" s="60"/>
      <c r="K320" s="61"/>
      <c r="R320" s="61"/>
    </row>
    <row r="321" ht="15.75" customHeight="1">
      <c r="B321" s="5"/>
      <c r="E321" s="60"/>
      <c r="F321" s="60"/>
      <c r="K321" s="61"/>
      <c r="R321" s="61"/>
    </row>
    <row r="322" ht="15.75" customHeight="1">
      <c r="B322" s="5"/>
      <c r="E322" s="60"/>
      <c r="F322" s="60"/>
      <c r="K322" s="61"/>
      <c r="R322" s="61"/>
    </row>
    <row r="323" ht="15.75" customHeight="1">
      <c r="B323" s="5"/>
      <c r="E323" s="60"/>
      <c r="F323" s="60"/>
      <c r="K323" s="61"/>
      <c r="R323" s="61"/>
    </row>
    <row r="324" ht="15.75" customHeight="1">
      <c r="B324" s="5"/>
      <c r="E324" s="60"/>
      <c r="F324" s="60"/>
      <c r="K324" s="61"/>
      <c r="R324" s="61"/>
    </row>
    <row r="325" ht="15.75" customHeight="1">
      <c r="B325" s="5"/>
      <c r="E325" s="60"/>
      <c r="F325" s="60"/>
      <c r="K325" s="61"/>
      <c r="R325" s="61"/>
    </row>
    <row r="326" ht="15.75" customHeight="1">
      <c r="B326" s="5"/>
      <c r="E326" s="60"/>
      <c r="F326" s="60"/>
      <c r="K326" s="61"/>
      <c r="R326" s="61"/>
    </row>
    <row r="327" ht="15.75" customHeight="1">
      <c r="B327" s="5"/>
      <c r="E327" s="60"/>
      <c r="F327" s="60"/>
      <c r="K327" s="61"/>
      <c r="R327" s="61"/>
    </row>
    <row r="328" ht="15.75" customHeight="1">
      <c r="B328" s="5"/>
      <c r="E328" s="60"/>
      <c r="F328" s="60"/>
      <c r="K328" s="61"/>
      <c r="R328" s="61"/>
    </row>
    <row r="329" ht="15.75" customHeight="1">
      <c r="B329" s="5"/>
      <c r="E329" s="60"/>
      <c r="F329" s="60"/>
      <c r="K329" s="61"/>
      <c r="R329" s="61"/>
    </row>
    <row r="330" ht="15.75" customHeight="1">
      <c r="B330" s="5"/>
      <c r="E330" s="60"/>
      <c r="F330" s="60"/>
      <c r="K330" s="61"/>
      <c r="R330" s="61"/>
    </row>
    <row r="331" ht="15.75" customHeight="1">
      <c r="B331" s="5"/>
      <c r="E331" s="60"/>
      <c r="F331" s="60"/>
      <c r="K331" s="61"/>
      <c r="R331" s="61"/>
    </row>
    <row r="332" ht="15.75" customHeight="1">
      <c r="B332" s="5"/>
      <c r="E332" s="60"/>
      <c r="F332" s="60"/>
      <c r="K332" s="61"/>
      <c r="R332" s="61"/>
    </row>
    <row r="333" ht="15.75" customHeight="1">
      <c r="B333" s="5"/>
      <c r="E333" s="60"/>
      <c r="F333" s="60"/>
      <c r="K333" s="61"/>
      <c r="R333" s="61"/>
    </row>
    <row r="334" ht="15.75" customHeight="1">
      <c r="B334" s="5"/>
      <c r="E334" s="60"/>
      <c r="F334" s="60"/>
      <c r="K334" s="61"/>
      <c r="R334" s="61"/>
    </row>
    <row r="335" ht="15.75" customHeight="1">
      <c r="B335" s="5"/>
      <c r="E335" s="60"/>
      <c r="F335" s="60"/>
      <c r="K335" s="61"/>
      <c r="R335" s="61"/>
    </row>
    <row r="336" ht="15.75" customHeight="1">
      <c r="B336" s="5"/>
      <c r="E336" s="60"/>
      <c r="F336" s="60"/>
      <c r="K336" s="61"/>
      <c r="R336" s="61"/>
    </row>
    <row r="337" ht="15.75" customHeight="1">
      <c r="B337" s="5"/>
      <c r="E337" s="60"/>
      <c r="F337" s="60"/>
      <c r="K337" s="61"/>
      <c r="R337" s="61"/>
    </row>
    <row r="338" ht="15.75" customHeight="1">
      <c r="B338" s="5"/>
      <c r="E338" s="60"/>
      <c r="F338" s="60"/>
      <c r="K338" s="61"/>
      <c r="R338" s="61"/>
    </row>
    <row r="339" ht="15.75" customHeight="1">
      <c r="B339" s="5"/>
      <c r="E339" s="60"/>
      <c r="F339" s="60"/>
      <c r="K339" s="61"/>
      <c r="R339" s="61"/>
    </row>
    <row r="340" ht="15.75" customHeight="1">
      <c r="B340" s="5"/>
      <c r="E340" s="60"/>
      <c r="F340" s="60"/>
      <c r="K340" s="61"/>
      <c r="R340" s="61"/>
    </row>
    <row r="341" ht="15.75" customHeight="1">
      <c r="B341" s="5"/>
      <c r="E341" s="60"/>
      <c r="F341" s="60"/>
      <c r="K341" s="61"/>
      <c r="R341" s="61"/>
    </row>
    <row r="342" ht="15.75" customHeight="1">
      <c r="B342" s="5"/>
      <c r="E342" s="60"/>
      <c r="F342" s="60"/>
      <c r="K342" s="61"/>
      <c r="R342" s="61"/>
    </row>
    <row r="343" ht="15.75" customHeight="1">
      <c r="B343" s="5"/>
      <c r="E343" s="60"/>
      <c r="F343" s="60"/>
      <c r="K343" s="61"/>
      <c r="R343" s="61"/>
    </row>
    <row r="344" ht="15.75" customHeight="1">
      <c r="B344" s="5"/>
      <c r="E344" s="60"/>
      <c r="F344" s="60"/>
      <c r="K344" s="61"/>
      <c r="R344" s="61"/>
    </row>
    <row r="345" ht="15.75" customHeight="1">
      <c r="B345" s="5"/>
      <c r="E345" s="60"/>
      <c r="F345" s="60"/>
      <c r="K345" s="61"/>
      <c r="R345" s="61"/>
    </row>
    <row r="346" ht="15.75" customHeight="1">
      <c r="B346" s="5"/>
      <c r="E346" s="60"/>
      <c r="F346" s="60"/>
      <c r="K346" s="61"/>
      <c r="R346" s="61"/>
    </row>
    <row r="347" ht="15.75" customHeight="1">
      <c r="B347" s="5"/>
      <c r="E347" s="60"/>
      <c r="F347" s="60"/>
      <c r="K347" s="61"/>
      <c r="R347" s="61"/>
    </row>
    <row r="348" ht="15.75" customHeight="1">
      <c r="B348" s="5"/>
      <c r="E348" s="60"/>
      <c r="F348" s="60"/>
      <c r="K348" s="61"/>
      <c r="R348" s="61"/>
    </row>
    <row r="349" ht="15.75" customHeight="1">
      <c r="B349" s="5"/>
      <c r="E349" s="60"/>
      <c r="F349" s="60"/>
      <c r="K349" s="61"/>
      <c r="R349" s="61"/>
    </row>
    <row r="350" ht="15.75" customHeight="1">
      <c r="B350" s="5"/>
      <c r="E350" s="60"/>
      <c r="F350" s="60"/>
      <c r="K350" s="61"/>
      <c r="R350" s="61"/>
    </row>
    <row r="351" ht="15.75" customHeight="1">
      <c r="B351" s="5"/>
      <c r="E351" s="60"/>
      <c r="F351" s="60"/>
      <c r="K351" s="61"/>
      <c r="R351" s="61"/>
    </row>
    <row r="352" ht="15.75" customHeight="1">
      <c r="B352" s="5"/>
      <c r="E352" s="60"/>
      <c r="F352" s="60"/>
      <c r="K352" s="61"/>
      <c r="R352" s="61"/>
    </row>
    <row r="353" ht="15.75" customHeight="1">
      <c r="B353" s="5"/>
      <c r="E353" s="60"/>
      <c r="F353" s="60"/>
      <c r="K353" s="61"/>
      <c r="R353" s="61"/>
    </row>
    <row r="354" ht="15.75" customHeight="1">
      <c r="B354" s="5"/>
      <c r="E354" s="60"/>
      <c r="F354" s="60"/>
      <c r="K354" s="61"/>
      <c r="R354" s="61"/>
    </row>
    <row r="355" ht="15.75" customHeight="1">
      <c r="B355" s="5"/>
      <c r="E355" s="60"/>
      <c r="F355" s="60"/>
      <c r="K355" s="61"/>
      <c r="R355" s="61"/>
    </row>
    <row r="356" ht="15.75" customHeight="1">
      <c r="B356" s="5"/>
      <c r="E356" s="60"/>
      <c r="F356" s="60"/>
      <c r="K356" s="61"/>
      <c r="R356" s="61"/>
    </row>
    <row r="357" ht="15.75" customHeight="1">
      <c r="B357" s="5"/>
      <c r="E357" s="60"/>
      <c r="F357" s="60"/>
      <c r="K357" s="61"/>
      <c r="R357" s="61"/>
    </row>
    <row r="358" ht="15.75" customHeight="1">
      <c r="B358" s="5"/>
      <c r="E358" s="60"/>
      <c r="F358" s="60"/>
      <c r="K358" s="61"/>
      <c r="R358" s="61"/>
    </row>
    <row r="359" ht="15.75" customHeight="1">
      <c r="B359" s="5"/>
      <c r="E359" s="60"/>
      <c r="F359" s="60"/>
      <c r="K359" s="61"/>
      <c r="R359" s="61"/>
    </row>
    <row r="360" ht="15.75" customHeight="1">
      <c r="B360" s="5"/>
      <c r="E360" s="60"/>
      <c r="F360" s="60"/>
      <c r="K360" s="61"/>
      <c r="R360" s="61"/>
    </row>
    <row r="361" ht="15.75" customHeight="1">
      <c r="B361" s="5"/>
      <c r="E361" s="60"/>
      <c r="F361" s="60"/>
      <c r="K361" s="61"/>
      <c r="R361" s="61"/>
    </row>
    <row r="362" ht="15.75" customHeight="1">
      <c r="B362" s="5"/>
      <c r="E362" s="60"/>
      <c r="F362" s="60"/>
      <c r="K362" s="61"/>
      <c r="R362" s="61"/>
    </row>
    <row r="363" ht="15.75" customHeight="1">
      <c r="B363" s="5"/>
      <c r="E363" s="60"/>
      <c r="F363" s="60"/>
      <c r="K363" s="61"/>
      <c r="R363" s="61"/>
    </row>
    <row r="364" ht="15.75" customHeight="1">
      <c r="B364" s="5"/>
      <c r="E364" s="60"/>
      <c r="F364" s="60"/>
      <c r="K364" s="61"/>
      <c r="R364" s="61"/>
    </row>
    <row r="365" ht="15.75" customHeight="1">
      <c r="B365" s="5"/>
      <c r="E365" s="60"/>
      <c r="F365" s="60"/>
      <c r="K365" s="61"/>
      <c r="R365" s="61"/>
    </row>
    <row r="366" ht="15.75" customHeight="1">
      <c r="B366" s="5"/>
      <c r="E366" s="60"/>
      <c r="F366" s="60"/>
      <c r="K366" s="61"/>
      <c r="R366" s="61"/>
    </row>
    <row r="367" ht="15.75" customHeight="1">
      <c r="B367" s="5"/>
      <c r="E367" s="60"/>
      <c r="F367" s="60"/>
      <c r="K367" s="61"/>
      <c r="R367" s="61"/>
    </row>
    <row r="368" ht="15.75" customHeight="1">
      <c r="B368" s="5"/>
      <c r="E368" s="60"/>
      <c r="F368" s="60"/>
      <c r="K368" s="61"/>
      <c r="R368" s="61"/>
    </row>
    <row r="369" ht="15.75" customHeight="1">
      <c r="B369" s="5"/>
      <c r="E369" s="60"/>
      <c r="F369" s="60"/>
      <c r="K369" s="61"/>
      <c r="R369" s="61"/>
    </row>
    <row r="370" ht="15.75" customHeight="1">
      <c r="B370" s="5"/>
      <c r="E370" s="60"/>
      <c r="F370" s="60"/>
      <c r="K370" s="61"/>
      <c r="R370" s="61"/>
    </row>
    <row r="371" ht="15.75" customHeight="1">
      <c r="B371" s="5"/>
      <c r="E371" s="60"/>
      <c r="F371" s="60"/>
      <c r="K371" s="61"/>
      <c r="R371" s="61"/>
    </row>
    <row r="372" ht="15.75" customHeight="1">
      <c r="B372" s="5"/>
      <c r="E372" s="60"/>
      <c r="F372" s="60"/>
      <c r="K372" s="61"/>
      <c r="R372" s="61"/>
    </row>
    <row r="373" ht="15.75" customHeight="1">
      <c r="B373" s="5"/>
      <c r="E373" s="60"/>
      <c r="F373" s="60"/>
      <c r="K373" s="61"/>
      <c r="R373" s="61"/>
    </row>
    <row r="374" ht="15.75" customHeight="1">
      <c r="B374" s="5"/>
      <c r="E374" s="60"/>
      <c r="F374" s="60"/>
      <c r="K374" s="61"/>
      <c r="R374" s="61"/>
    </row>
    <row r="375" ht="15.75" customHeight="1">
      <c r="B375" s="5"/>
      <c r="E375" s="60"/>
      <c r="F375" s="60"/>
      <c r="K375" s="61"/>
      <c r="R375" s="61"/>
    </row>
    <row r="376" ht="15.75" customHeight="1">
      <c r="B376" s="5"/>
      <c r="E376" s="60"/>
      <c r="F376" s="60"/>
      <c r="K376" s="61"/>
      <c r="R376" s="61"/>
    </row>
    <row r="377" ht="15.75" customHeight="1">
      <c r="B377" s="5"/>
      <c r="E377" s="60"/>
      <c r="F377" s="60"/>
      <c r="K377" s="61"/>
      <c r="R377" s="61"/>
    </row>
    <row r="378" ht="15.75" customHeight="1">
      <c r="B378" s="5"/>
      <c r="E378" s="60"/>
      <c r="F378" s="60"/>
      <c r="K378" s="61"/>
      <c r="R378" s="61"/>
    </row>
    <row r="379" ht="15.75" customHeight="1">
      <c r="B379" s="5"/>
      <c r="E379" s="60"/>
      <c r="F379" s="60"/>
      <c r="K379" s="61"/>
      <c r="R379" s="61"/>
    </row>
    <row r="380" ht="15.75" customHeight="1">
      <c r="B380" s="5"/>
      <c r="E380" s="60"/>
      <c r="F380" s="60"/>
      <c r="K380" s="61"/>
      <c r="R380" s="61"/>
    </row>
    <row r="381" ht="15.75" customHeight="1">
      <c r="B381" s="5"/>
      <c r="E381" s="60"/>
      <c r="F381" s="60"/>
      <c r="K381" s="61"/>
      <c r="R381" s="61"/>
    </row>
    <row r="382" ht="15.75" customHeight="1">
      <c r="B382" s="5"/>
      <c r="E382" s="60"/>
      <c r="F382" s="60"/>
      <c r="K382" s="61"/>
      <c r="R382" s="61"/>
    </row>
    <row r="383" ht="15.75" customHeight="1">
      <c r="B383" s="5"/>
      <c r="E383" s="60"/>
      <c r="F383" s="60"/>
      <c r="K383" s="61"/>
      <c r="R383" s="61"/>
    </row>
    <row r="384" ht="15.75" customHeight="1">
      <c r="B384" s="5"/>
      <c r="E384" s="60"/>
      <c r="F384" s="60"/>
      <c r="K384" s="61"/>
      <c r="R384" s="61"/>
    </row>
    <row r="385" ht="15.75" customHeight="1">
      <c r="B385" s="5"/>
      <c r="E385" s="60"/>
      <c r="F385" s="60"/>
      <c r="K385" s="61"/>
      <c r="R385" s="61"/>
    </row>
    <row r="386" ht="15.75" customHeight="1">
      <c r="B386" s="5"/>
      <c r="E386" s="60"/>
      <c r="F386" s="60"/>
      <c r="K386" s="61"/>
      <c r="R386" s="61"/>
    </row>
    <row r="387" ht="15.75" customHeight="1">
      <c r="B387" s="5"/>
      <c r="E387" s="60"/>
      <c r="F387" s="60"/>
      <c r="K387" s="61"/>
      <c r="R387" s="61"/>
    </row>
    <row r="388" ht="15.75" customHeight="1">
      <c r="B388" s="5"/>
      <c r="E388" s="60"/>
      <c r="F388" s="60"/>
      <c r="K388" s="61"/>
      <c r="R388" s="61"/>
    </row>
    <row r="389" ht="15.75" customHeight="1">
      <c r="B389" s="5"/>
      <c r="E389" s="60"/>
      <c r="F389" s="60"/>
      <c r="K389" s="61"/>
      <c r="R389" s="61"/>
    </row>
    <row r="390" ht="15.75" customHeight="1">
      <c r="B390" s="5"/>
      <c r="E390" s="60"/>
      <c r="F390" s="60"/>
      <c r="K390" s="61"/>
      <c r="R390" s="61"/>
    </row>
    <row r="391" ht="15.75" customHeight="1">
      <c r="B391" s="5"/>
      <c r="E391" s="60"/>
      <c r="F391" s="60"/>
      <c r="K391" s="61"/>
      <c r="R391" s="61"/>
    </row>
    <row r="392" ht="15.75" customHeight="1">
      <c r="B392" s="5"/>
      <c r="E392" s="60"/>
      <c r="F392" s="60"/>
      <c r="K392" s="61"/>
      <c r="R392" s="61"/>
    </row>
    <row r="393" ht="15.75" customHeight="1">
      <c r="B393" s="5"/>
      <c r="E393" s="60"/>
      <c r="F393" s="60"/>
      <c r="K393" s="61"/>
      <c r="R393" s="61"/>
    </row>
    <row r="394" ht="15.75" customHeight="1">
      <c r="B394" s="5"/>
      <c r="E394" s="60"/>
      <c r="F394" s="60"/>
      <c r="K394" s="61"/>
      <c r="R394" s="61"/>
    </row>
    <row r="395" ht="15.75" customHeight="1">
      <c r="B395" s="5"/>
      <c r="E395" s="60"/>
      <c r="F395" s="60"/>
      <c r="K395" s="61"/>
      <c r="R395" s="61"/>
    </row>
    <row r="396" ht="15.75" customHeight="1">
      <c r="B396" s="5"/>
      <c r="E396" s="60"/>
      <c r="F396" s="60"/>
      <c r="K396" s="61"/>
      <c r="R396" s="61"/>
    </row>
    <row r="397" ht="15.75" customHeight="1">
      <c r="B397" s="5"/>
      <c r="E397" s="60"/>
      <c r="F397" s="60"/>
      <c r="K397" s="61"/>
      <c r="R397" s="61"/>
    </row>
    <row r="398" ht="15.75" customHeight="1">
      <c r="B398" s="5"/>
      <c r="E398" s="60"/>
      <c r="F398" s="60"/>
      <c r="K398" s="61"/>
      <c r="R398" s="61"/>
    </row>
    <row r="399" ht="15.75" customHeight="1">
      <c r="B399" s="5"/>
      <c r="E399" s="60"/>
      <c r="F399" s="60"/>
      <c r="K399" s="61"/>
      <c r="R399" s="61"/>
    </row>
    <row r="400" ht="15.75" customHeight="1">
      <c r="B400" s="5"/>
      <c r="E400" s="60"/>
      <c r="F400" s="60"/>
      <c r="K400" s="61"/>
      <c r="R400" s="61"/>
    </row>
    <row r="401" ht="15.75" customHeight="1">
      <c r="B401" s="5"/>
      <c r="E401" s="60"/>
      <c r="F401" s="60"/>
      <c r="K401" s="61"/>
      <c r="R401" s="61"/>
    </row>
    <row r="402" ht="15.75" customHeight="1">
      <c r="B402" s="5"/>
      <c r="E402" s="60"/>
      <c r="F402" s="60"/>
      <c r="K402" s="61"/>
      <c r="R402" s="61"/>
    </row>
    <row r="403" ht="15.75" customHeight="1">
      <c r="B403" s="5"/>
      <c r="E403" s="60"/>
      <c r="F403" s="60"/>
      <c r="K403" s="61"/>
      <c r="R403" s="61"/>
    </row>
    <row r="404" ht="15.75" customHeight="1">
      <c r="B404" s="5"/>
      <c r="E404" s="60"/>
      <c r="F404" s="60"/>
      <c r="K404" s="61"/>
      <c r="R404" s="61"/>
    </row>
    <row r="405" ht="15.75" customHeight="1">
      <c r="B405" s="5"/>
      <c r="E405" s="60"/>
      <c r="F405" s="60"/>
      <c r="K405" s="61"/>
      <c r="R405" s="61"/>
    </row>
    <row r="406" ht="15.75" customHeight="1">
      <c r="B406" s="5"/>
      <c r="E406" s="60"/>
      <c r="F406" s="60"/>
      <c r="K406" s="61"/>
      <c r="R406" s="61"/>
    </row>
    <row r="407" ht="15.75" customHeight="1">
      <c r="B407" s="5"/>
      <c r="E407" s="60"/>
      <c r="F407" s="60"/>
      <c r="K407" s="61"/>
      <c r="R407" s="61"/>
    </row>
    <row r="408" ht="15.75" customHeight="1">
      <c r="B408" s="5"/>
      <c r="E408" s="60"/>
      <c r="F408" s="60"/>
      <c r="K408" s="61"/>
      <c r="R408" s="61"/>
    </row>
    <row r="409" ht="15.75" customHeight="1">
      <c r="B409" s="5"/>
      <c r="E409" s="60"/>
      <c r="F409" s="60"/>
      <c r="K409" s="61"/>
      <c r="R409" s="61"/>
    </row>
    <row r="410" ht="15.75" customHeight="1">
      <c r="B410" s="5"/>
      <c r="E410" s="60"/>
      <c r="F410" s="60"/>
      <c r="K410" s="61"/>
      <c r="R410" s="61"/>
    </row>
    <row r="411" ht="15.75" customHeight="1">
      <c r="B411" s="5"/>
      <c r="E411" s="60"/>
      <c r="F411" s="60"/>
      <c r="K411" s="61"/>
      <c r="R411" s="61"/>
    </row>
    <row r="412" ht="15.75" customHeight="1">
      <c r="B412" s="5"/>
      <c r="E412" s="60"/>
      <c r="F412" s="60"/>
      <c r="K412" s="61"/>
      <c r="R412" s="61"/>
    </row>
    <row r="413" ht="15.75" customHeight="1">
      <c r="B413" s="5"/>
      <c r="E413" s="60"/>
      <c r="F413" s="60"/>
      <c r="K413" s="61"/>
      <c r="R413" s="61"/>
    </row>
    <row r="414" ht="15.75" customHeight="1">
      <c r="B414" s="5"/>
      <c r="E414" s="60"/>
      <c r="F414" s="60"/>
      <c r="K414" s="61"/>
      <c r="R414" s="61"/>
    </row>
    <row r="415" ht="15.75" customHeight="1">
      <c r="B415" s="5"/>
      <c r="E415" s="60"/>
      <c r="F415" s="60"/>
      <c r="K415" s="61"/>
      <c r="R415" s="61"/>
    </row>
    <row r="416" ht="15.75" customHeight="1">
      <c r="B416" s="5"/>
      <c r="E416" s="60"/>
      <c r="F416" s="60"/>
      <c r="K416" s="61"/>
      <c r="R416" s="61"/>
    </row>
    <row r="417" ht="15.75" customHeight="1">
      <c r="B417" s="5"/>
      <c r="E417" s="60"/>
      <c r="F417" s="60"/>
      <c r="K417" s="61"/>
      <c r="R417" s="61"/>
    </row>
    <row r="418" ht="15.75" customHeight="1">
      <c r="B418" s="5"/>
      <c r="E418" s="60"/>
      <c r="F418" s="60"/>
      <c r="K418" s="61"/>
      <c r="R418" s="61"/>
    </row>
    <row r="419" ht="15.75" customHeight="1">
      <c r="B419" s="5"/>
      <c r="E419" s="60"/>
      <c r="F419" s="60"/>
      <c r="K419" s="61"/>
      <c r="R419" s="61"/>
    </row>
    <row r="420" ht="15.75" customHeight="1">
      <c r="B420" s="5"/>
      <c r="E420" s="60"/>
      <c r="F420" s="60"/>
      <c r="K420" s="61"/>
      <c r="R420" s="61"/>
    </row>
    <row r="421" ht="15.75" customHeight="1">
      <c r="B421" s="5"/>
      <c r="E421" s="60"/>
      <c r="F421" s="60"/>
      <c r="K421" s="61"/>
      <c r="R421" s="61"/>
    </row>
    <row r="422" ht="15.75" customHeight="1">
      <c r="B422" s="5"/>
      <c r="E422" s="60"/>
      <c r="F422" s="60"/>
      <c r="K422" s="61"/>
      <c r="R422" s="61"/>
    </row>
    <row r="423" ht="15.75" customHeight="1">
      <c r="B423" s="5"/>
      <c r="E423" s="60"/>
      <c r="F423" s="60"/>
      <c r="K423" s="61"/>
      <c r="R423" s="61"/>
    </row>
    <row r="424" ht="15.75" customHeight="1">
      <c r="B424" s="5"/>
      <c r="E424" s="60"/>
      <c r="F424" s="60"/>
      <c r="K424" s="61"/>
      <c r="R424" s="61"/>
    </row>
    <row r="425" ht="15.75" customHeight="1">
      <c r="B425" s="5"/>
      <c r="E425" s="60"/>
      <c r="F425" s="60"/>
      <c r="K425" s="61"/>
      <c r="R425" s="61"/>
    </row>
    <row r="426" ht="15.75" customHeight="1">
      <c r="B426" s="5"/>
      <c r="E426" s="60"/>
      <c r="F426" s="60"/>
      <c r="K426" s="61"/>
      <c r="R426" s="61"/>
    </row>
    <row r="427" ht="15.75" customHeight="1">
      <c r="B427" s="5"/>
      <c r="E427" s="60"/>
      <c r="F427" s="60"/>
      <c r="K427" s="61"/>
      <c r="R427" s="61"/>
    </row>
    <row r="428" ht="15.75" customHeight="1">
      <c r="B428" s="5"/>
      <c r="E428" s="60"/>
      <c r="F428" s="60"/>
      <c r="K428" s="61"/>
      <c r="R428" s="61"/>
    </row>
    <row r="429" ht="15.75" customHeight="1">
      <c r="B429" s="5"/>
      <c r="E429" s="60"/>
      <c r="F429" s="60"/>
      <c r="K429" s="61"/>
      <c r="R429" s="61"/>
    </row>
    <row r="430" ht="15.75" customHeight="1">
      <c r="B430" s="5"/>
      <c r="E430" s="60"/>
      <c r="F430" s="60"/>
      <c r="K430" s="61"/>
      <c r="R430" s="61"/>
    </row>
    <row r="431" ht="15.75" customHeight="1">
      <c r="B431" s="5"/>
      <c r="E431" s="60"/>
      <c r="F431" s="60"/>
      <c r="K431" s="61"/>
      <c r="R431" s="61"/>
    </row>
    <row r="432" ht="15.75" customHeight="1">
      <c r="B432" s="5"/>
      <c r="E432" s="60"/>
      <c r="F432" s="60"/>
      <c r="K432" s="61"/>
      <c r="R432" s="61"/>
    </row>
    <row r="433" ht="15.75" customHeight="1">
      <c r="B433" s="5"/>
      <c r="E433" s="60"/>
      <c r="F433" s="60"/>
      <c r="K433" s="61"/>
      <c r="R433" s="61"/>
    </row>
    <row r="434" ht="15.75" customHeight="1">
      <c r="B434" s="5"/>
      <c r="E434" s="60"/>
      <c r="F434" s="60"/>
      <c r="K434" s="61"/>
      <c r="R434" s="61"/>
    </row>
    <row r="435" ht="15.75" customHeight="1">
      <c r="B435" s="5"/>
      <c r="E435" s="60"/>
      <c r="F435" s="60"/>
      <c r="K435" s="61"/>
      <c r="R435" s="61"/>
    </row>
    <row r="436" ht="15.75" customHeight="1">
      <c r="B436" s="5"/>
      <c r="E436" s="60"/>
      <c r="F436" s="60"/>
      <c r="K436" s="61"/>
      <c r="R436" s="61"/>
    </row>
    <row r="437" ht="15.75" customHeight="1">
      <c r="B437" s="5"/>
      <c r="E437" s="60"/>
      <c r="F437" s="60"/>
      <c r="K437" s="61"/>
      <c r="R437" s="61"/>
    </row>
    <row r="438" ht="15.75" customHeight="1">
      <c r="B438" s="5"/>
      <c r="E438" s="60"/>
      <c r="F438" s="60"/>
      <c r="K438" s="61"/>
      <c r="R438" s="61"/>
    </row>
    <row r="439" ht="15.75" customHeight="1">
      <c r="B439" s="5"/>
      <c r="E439" s="60"/>
      <c r="F439" s="60"/>
      <c r="K439" s="61"/>
      <c r="R439" s="61"/>
    </row>
    <row r="440" ht="15.75" customHeight="1">
      <c r="B440" s="5"/>
      <c r="E440" s="60"/>
      <c r="F440" s="60"/>
      <c r="K440" s="61"/>
      <c r="R440" s="61"/>
    </row>
    <row r="441" ht="15.75" customHeight="1">
      <c r="B441" s="5"/>
      <c r="E441" s="60"/>
      <c r="F441" s="60"/>
      <c r="K441" s="61"/>
      <c r="R441" s="61"/>
    </row>
    <row r="442" ht="15.75" customHeight="1">
      <c r="B442" s="5"/>
      <c r="E442" s="60"/>
      <c r="F442" s="60"/>
      <c r="K442" s="61"/>
      <c r="R442" s="61"/>
    </row>
    <row r="443" ht="15.75" customHeight="1">
      <c r="B443" s="5"/>
      <c r="E443" s="60"/>
      <c r="F443" s="60"/>
      <c r="K443" s="61"/>
      <c r="R443" s="61"/>
    </row>
    <row r="444" ht="15.75" customHeight="1">
      <c r="B444" s="5"/>
      <c r="E444" s="60"/>
      <c r="F444" s="60"/>
      <c r="K444" s="61"/>
      <c r="R444" s="61"/>
    </row>
    <row r="445" ht="15.75" customHeight="1">
      <c r="B445" s="5"/>
      <c r="E445" s="60"/>
      <c r="F445" s="60"/>
      <c r="K445" s="61"/>
      <c r="R445" s="61"/>
    </row>
    <row r="446" ht="15.75" customHeight="1">
      <c r="B446" s="5"/>
      <c r="E446" s="60"/>
      <c r="F446" s="60"/>
      <c r="K446" s="61"/>
      <c r="R446" s="61"/>
    </row>
    <row r="447" ht="15.75" customHeight="1">
      <c r="B447" s="5"/>
      <c r="E447" s="60"/>
      <c r="F447" s="60"/>
      <c r="K447" s="61"/>
      <c r="R447" s="61"/>
    </row>
    <row r="448" ht="15.75" customHeight="1">
      <c r="B448" s="5"/>
      <c r="E448" s="60"/>
      <c r="F448" s="60"/>
      <c r="K448" s="61"/>
      <c r="R448" s="61"/>
    </row>
    <row r="449" ht="15.75" customHeight="1">
      <c r="B449" s="5"/>
      <c r="E449" s="60"/>
      <c r="F449" s="60"/>
      <c r="K449" s="61"/>
      <c r="R449" s="61"/>
    </row>
    <row r="450" ht="15.75" customHeight="1">
      <c r="B450" s="5"/>
      <c r="E450" s="60"/>
      <c r="F450" s="60"/>
      <c r="K450" s="61"/>
      <c r="R450" s="61"/>
    </row>
    <row r="451" ht="15.75" customHeight="1">
      <c r="B451" s="5"/>
      <c r="E451" s="60"/>
      <c r="F451" s="60"/>
      <c r="K451" s="61"/>
      <c r="R451" s="61"/>
    </row>
    <row r="452" ht="15.75" customHeight="1">
      <c r="B452" s="5"/>
      <c r="E452" s="60"/>
      <c r="F452" s="60"/>
      <c r="K452" s="61"/>
      <c r="R452" s="61"/>
    </row>
    <row r="453" ht="15.75" customHeight="1">
      <c r="B453" s="5"/>
      <c r="E453" s="60"/>
      <c r="F453" s="60"/>
      <c r="K453" s="61"/>
      <c r="R453" s="61"/>
    </row>
    <row r="454" ht="15.75" customHeight="1">
      <c r="B454" s="5"/>
      <c r="E454" s="60"/>
      <c r="F454" s="60"/>
      <c r="K454" s="61"/>
      <c r="R454" s="61"/>
    </row>
    <row r="455" ht="15.75" customHeight="1">
      <c r="B455" s="5"/>
      <c r="E455" s="60"/>
      <c r="F455" s="60"/>
      <c r="K455" s="61"/>
      <c r="R455" s="61"/>
    </row>
    <row r="456" ht="15.75" customHeight="1">
      <c r="B456" s="5"/>
      <c r="E456" s="60"/>
      <c r="F456" s="60"/>
      <c r="K456" s="61"/>
      <c r="R456" s="61"/>
    </row>
    <row r="457" ht="15.75" customHeight="1">
      <c r="B457" s="5"/>
      <c r="E457" s="60"/>
      <c r="F457" s="60"/>
      <c r="K457" s="61"/>
      <c r="R457" s="61"/>
    </row>
    <row r="458" ht="15.75" customHeight="1">
      <c r="B458" s="5"/>
      <c r="E458" s="60"/>
      <c r="F458" s="60"/>
      <c r="K458" s="61"/>
      <c r="R458" s="61"/>
    </row>
    <row r="459" ht="15.75" customHeight="1">
      <c r="B459" s="5"/>
      <c r="E459" s="60"/>
      <c r="F459" s="60"/>
      <c r="K459" s="61"/>
      <c r="R459" s="61"/>
    </row>
    <row r="460" ht="15.75" customHeight="1">
      <c r="B460" s="5"/>
      <c r="E460" s="60"/>
      <c r="F460" s="60"/>
      <c r="K460" s="61"/>
      <c r="R460" s="61"/>
    </row>
    <row r="461" ht="15.75" customHeight="1">
      <c r="B461" s="5"/>
      <c r="E461" s="60"/>
      <c r="F461" s="60"/>
      <c r="K461" s="61"/>
      <c r="R461" s="61"/>
    </row>
    <row r="462" ht="15.75" customHeight="1">
      <c r="B462" s="5"/>
      <c r="E462" s="60"/>
      <c r="F462" s="60"/>
      <c r="K462" s="61"/>
      <c r="R462" s="61"/>
    </row>
    <row r="463" ht="15.75" customHeight="1">
      <c r="B463" s="5"/>
      <c r="E463" s="60"/>
      <c r="F463" s="60"/>
      <c r="K463" s="61"/>
      <c r="R463" s="61"/>
    </row>
    <row r="464" ht="15.75" customHeight="1">
      <c r="B464" s="5"/>
      <c r="E464" s="60"/>
      <c r="F464" s="60"/>
      <c r="K464" s="61"/>
      <c r="R464" s="61"/>
    </row>
    <row r="465" ht="15.75" customHeight="1">
      <c r="B465" s="5"/>
      <c r="E465" s="60"/>
      <c r="F465" s="60"/>
      <c r="K465" s="61"/>
      <c r="R465" s="61"/>
    </row>
    <row r="466" ht="15.75" customHeight="1">
      <c r="B466" s="5"/>
      <c r="E466" s="60"/>
      <c r="F466" s="60"/>
      <c r="K466" s="61"/>
      <c r="R466" s="61"/>
    </row>
    <row r="467" ht="15.75" customHeight="1">
      <c r="B467" s="5"/>
      <c r="E467" s="60"/>
      <c r="F467" s="60"/>
      <c r="K467" s="61"/>
      <c r="R467" s="61"/>
    </row>
    <row r="468" ht="15.75" customHeight="1">
      <c r="B468" s="5"/>
      <c r="E468" s="60"/>
      <c r="F468" s="60"/>
      <c r="K468" s="61"/>
      <c r="R468" s="61"/>
    </row>
    <row r="469" ht="15.75" customHeight="1">
      <c r="B469" s="5"/>
      <c r="E469" s="60"/>
      <c r="F469" s="60"/>
      <c r="K469" s="61"/>
      <c r="R469" s="61"/>
    </row>
    <row r="470" ht="15.75" customHeight="1">
      <c r="B470" s="5"/>
      <c r="E470" s="60"/>
      <c r="F470" s="60"/>
      <c r="K470" s="61"/>
      <c r="R470" s="61"/>
    </row>
    <row r="471" ht="15.75" customHeight="1">
      <c r="B471" s="5"/>
      <c r="E471" s="60"/>
      <c r="F471" s="60"/>
      <c r="K471" s="61"/>
      <c r="R471" s="61"/>
    </row>
    <row r="472" ht="15.75" customHeight="1">
      <c r="B472" s="5"/>
      <c r="E472" s="60"/>
      <c r="F472" s="60"/>
      <c r="K472" s="61"/>
      <c r="R472" s="61"/>
    </row>
    <row r="473" ht="15.75" customHeight="1">
      <c r="B473" s="5"/>
      <c r="E473" s="60"/>
      <c r="F473" s="60"/>
      <c r="K473" s="61"/>
      <c r="R473" s="61"/>
    </row>
    <row r="474" ht="15.75" customHeight="1">
      <c r="B474" s="5"/>
      <c r="E474" s="60"/>
      <c r="F474" s="60"/>
      <c r="K474" s="61"/>
      <c r="R474" s="61"/>
    </row>
    <row r="475" ht="15.75" customHeight="1">
      <c r="B475" s="5"/>
      <c r="E475" s="60"/>
      <c r="F475" s="60"/>
      <c r="K475" s="61"/>
      <c r="R475" s="61"/>
    </row>
    <row r="476" ht="15.75" customHeight="1">
      <c r="B476" s="5"/>
      <c r="E476" s="60"/>
      <c r="F476" s="60"/>
      <c r="K476" s="61"/>
      <c r="R476" s="61"/>
    </row>
    <row r="477" ht="15.75" customHeight="1">
      <c r="B477" s="5"/>
      <c r="E477" s="60"/>
      <c r="F477" s="60"/>
      <c r="K477" s="61"/>
      <c r="R477" s="61"/>
    </row>
    <row r="478" ht="15.75" customHeight="1">
      <c r="B478" s="5"/>
      <c r="E478" s="60"/>
      <c r="F478" s="60"/>
      <c r="K478" s="61"/>
      <c r="R478" s="61"/>
    </row>
    <row r="479" ht="15.75" customHeight="1">
      <c r="B479" s="5"/>
      <c r="E479" s="60"/>
      <c r="F479" s="60"/>
      <c r="K479" s="61"/>
      <c r="R479" s="61"/>
    </row>
    <row r="480" ht="15.75" customHeight="1">
      <c r="B480" s="5"/>
      <c r="E480" s="60"/>
      <c r="F480" s="60"/>
      <c r="K480" s="61"/>
      <c r="R480" s="61"/>
    </row>
    <row r="481" ht="15.75" customHeight="1">
      <c r="B481" s="5"/>
      <c r="E481" s="60"/>
      <c r="F481" s="60"/>
      <c r="K481" s="61"/>
      <c r="R481" s="61"/>
    </row>
    <row r="482" ht="15.75" customHeight="1">
      <c r="B482" s="5"/>
      <c r="E482" s="60"/>
      <c r="F482" s="60"/>
      <c r="K482" s="61"/>
      <c r="R482" s="61"/>
    </row>
    <row r="483" ht="15.75" customHeight="1">
      <c r="B483" s="5"/>
      <c r="E483" s="60"/>
      <c r="F483" s="60"/>
      <c r="K483" s="61"/>
      <c r="R483" s="61"/>
    </row>
    <row r="484" ht="15.75" customHeight="1">
      <c r="B484" s="5"/>
      <c r="E484" s="60"/>
      <c r="F484" s="60"/>
      <c r="K484" s="61"/>
      <c r="R484" s="61"/>
    </row>
    <row r="485" ht="15.75" customHeight="1">
      <c r="B485" s="5"/>
      <c r="E485" s="60"/>
      <c r="F485" s="60"/>
      <c r="K485" s="61"/>
      <c r="R485" s="61"/>
    </row>
    <row r="486" ht="15.75" customHeight="1">
      <c r="B486" s="5"/>
      <c r="E486" s="60"/>
      <c r="F486" s="60"/>
      <c r="K486" s="61"/>
      <c r="R486" s="61"/>
    </row>
    <row r="487" ht="15.75" customHeight="1">
      <c r="B487" s="5"/>
      <c r="E487" s="60"/>
      <c r="F487" s="60"/>
      <c r="K487" s="61"/>
      <c r="R487" s="61"/>
    </row>
    <row r="488" ht="15.75" customHeight="1">
      <c r="B488" s="5"/>
      <c r="E488" s="60"/>
      <c r="F488" s="60"/>
      <c r="K488" s="61"/>
      <c r="R488" s="61"/>
    </row>
    <row r="489" ht="15.75" customHeight="1">
      <c r="B489" s="5"/>
      <c r="E489" s="60"/>
      <c r="F489" s="60"/>
      <c r="K489" s="61"/>
      <c r="R489" s="61"/>
    </row>
    <row r="490" ht="15.75" customHeight="1">
      <c r="B490" s="5"/>
      <c r="E490" s="60"/>
      <c r="F490" s="60"/>
      <c r="K490" s="61"/>
      <c r="R490" s="61"/>
    </row>
    <row r="491" ht="15.75" customHeight="1">
      <c r="B491" s="5"/>
      <c r="E491" s="60"/>
      <c r="F491" s="60"/>
      <c r="K491" s="61"/>
      <c r="R491" s="61"/>
    </row>
    <row r="492" ht="15.75" customHeight="1">
      <c r="B492" s="5"/>
      <c r="E492" s="60"/>
      <c r="F492" s="60"/>
      <c r="K492" s="61"/>
      <c r="R492" s="61"/>
    </row>
    <row r="493" ht="15.75" customHeight="1">
      <c r="B493" s="5"/>
      <c r="E493" s="60"/>
      <c r="F493" s="60"/>
      <c r="K493" s="61"/>
      <c r="R493" s="61"/>
    </row>
    <row r="494" ht="15.75" customHeight="1">
      <c r="B494" s="5"/>
      <c r="E494" s="60"/>
      <c r="F494" s="60"/>
      <c r="K494" s="61"/>
      <c r="R494" s="61"/>
    </row>
    <row r="495" ht="15.75" customHeight="1">
      <c r="B495" s="5"/>
      <c r="E495" s="60"/>
      <c r="F495" s="60"/>
      <c r="K495" s="61"/>
      <c r="R495" s="61"/>
    </row>
    <row r="496" ht="15.75" customHeight="1">
      <c r="B496" s="5"/>
      <c r="E496" s="60"/>
      <c r="F496" s="60"/>
      <c r="K496" s="61"/>
      <c r="R496" s="61"/>
    </row>
    <row r="497" ht="15.75" customHeight="1">
      <c r="B497" s="5"/>
      <c r="E497" s="60"/>
      <c r="F497" s="60"/>
      <c r="K497" s="61"/>
      <c r="R497" s="61"/>
    </row>
    <row r="498" ht="15.75" customHeight="1">
      <c r="B498" s="5"/>
      <c r="E498" s="60"/>
      <c r="F498" s="60"/>
      <c r="K498" s="61"/>
      <c r="R498" s="61"/>
    </row>
    <row r="499" ht="15.75" customHeight="1">
      <c r="B499" s="5"/>
      <c r="E499" s="60"/>
      <c r="F499" s="60"/>
      <c r="K499" s="61"/>
      <c r="R499" s="61"/>
    </row>
    <row r="500" ht="15.75" customHeight="1">
      <c r="B500" s="5"/>
      <c r="E500" s="60"/>
      <c r="F500" s="60"/>
      <c r="K500" s="61"/>
      <c r="R500" s="61"/>
    </row>
    <row r="501" ht="15.75" customHeight="1">
      <c r="B501" s="5"/>
      <c r="E501" s="60"/>
      <c r="F501" s="60"/>
      <c r="K501" s="61"/>
      <c r="R501" s="61"/>
    </row>
    <row r="502" ht="15.75" customHeight="1">
      <c r="B502" s="5"/>
      <c r="E502" s="60"/>
      <c r="F502" s="60"/>
      <c r="K502" s="61"/>
      <c r="R502" s="61"/>
    </row>
    <row r="503" ht="15.75" customHeight="1">
      <c r="B503" s="5"/>
      <c r="E503" s="60"/>
      <c r="F503" s="60"/>
      <c r="K503" s="61"/>
      <c r="R503" s="61"/>
    </row>
    <row r="504" ht="15.75" customHeight="1">
      <c r="B504" s="5"/>
      <c r="E504" s="60"/>
      <c r="F504" s="60"/>
      <c r="K504" s="61"/>
      <c r="R504" s="61"/>
    </row>
    <row r="505" ht="15.75" customHeight="1">
      <c r="B505" s="5"/>
      <c r="E505" s="60"/>
      <c r="F505" s="60"/>
      <c r="K505" s="61"/>
      <c r="R505" s="61"/>
    </row>
    <row r="506" ht="15.75" customHeight="1">
      <c r="B506" s="5"/>
      <c r="E506" s="60"/>
      <c r="F506" s="60"/>
      <c r="K506" s="61"/>
      <c r="R506" s="61"/>
    </row>
    <row r="507" ht="15.75" customHeight="1">
      <c r="B507" s="5"/>
      <c r="E507" s="60"/>
      <c r="F507" s="60"/>
      <c r="K507" s="61"/>
      <c r="R507" s="61"/>
    </row>
    <row r="508" ht="15.75" customHeight="1">
      <c r="B508" s="5"/>
      <c r="E508" s="60"/>
      <c r="F508" s="60"/>
      <c r="K508" s="61"/>
      <c r="R508" s="61"/>
    </row>
    <row r="509" ht="15.75" customHeight="1">
      <c r="B509" s="5"/>
      <c r="E509" s="60"/>
      <c r="F509" s="60"/>
      <c r="K509" s="61"/>
      <c r="R509" s="61"/>
    </row>
    <row r="510" ht="15.75" customHeight="1">
      <c r="B510" s="5"/>
      <c r="E510" s="60"/>
      <c r="F510" s="60"/>
      <c r="K510" s="61"/>
      <c r="R510" s="61"/>
    </row>
    <row r="511" ht="15.75" customHeight="1">
      <c r="B511" s="5"/>
      <c r="E511" s="60"/>
      <c r="F511" s="60"/>
      <c r="K511" s="61"/>
      <c r="R511" s="61"/>
    </row>
    <row r="512" ht="15.75" customHeight="1">
      <c r="B512" s="5"/>
      <c r="E512" s="60"/>
      <c r="F512" s="60"/>
      <c r="K512" s="61"/>
      <c r="R512" s="61"/>
    </row>
    <row r="513" ht="15.75" customHeight="1">
      <c r="B513" s="5"/>
      <c r="E513" s="60"/>
      <c r="F513" s="60"/>
      <c r="K513" s="61"/>
      <c r="R513" s="61"/>
    </row>
    <row r="514" ht="15.75" customHeight="1">
      <c r="B514" s="5"/>
      <c r="E514" s="60"/>
      <c r="F514" s="60"/>
      <c r="K514" s="61"/>
      <c r="R514" s="61"/>
    </row>
    <row r="515" ht="15.75" customHeight="1">
      <c r="B515" s="5"/>
      <c r="E515" s="60"/>
      <c r="F515" s="60"/>
      <c r="K515" s="61"/>
      <c r="R515" s="61"/>
    </row>
    <row r="516" ht="15.75" customHeight="1">
      <c r="B516" s="5"/>
      <c r="E516" s="60"/>
      <c r="F516" s="60"/>
      <c r="K516" s="61"/>
      <c r="R516" s="61"/>
    </row>
    <row r="517" ht="15.75" customHeight="1">
      <c r="B517" s="5"/>
      <c r="E517" s="60"/>
      <c r="F517" s="60"/>
      <c r="K517" s="61"/>
      <c r="R517" s="61"/>
    </row>
    <row r="518" ht="15.75" customHeight="1">
      <c r="B518" s="5"/>
      <c r="E518" s="60"/>
      <c r="F518" s="60"/>
      <c r="K518" s="61"/>
      <c r="R518" s="61"/>
    </row>
    <row r="519" ht="15.75" customHeight="1">
      <c r="B519" s="5"/>
      <c r="E519" s="60"/>
      <c r="F519" s="60"/>
      <c r="K519" s="61"/>
      <c r="R519" s="61"/>
    </row>
    <row r="520" ht="15.75" customHeight="1">
      <c r="B520" s="5"/>
      <c r="E520" s="60"/>
      <c r="F520" s="60"/>
      <c r="K520" s="61"/>
      <c r="R520" s="61"/>
    </row>
    <row r="521" ht="15.75" customHeight="1">
      <c r="B521" s="5"/>
      <c r="E521" s="60"/>
      <c r="F521" s="60"/>
      <c r="K521" s="61"/>
      <c r="R521" s="61"/>
    </row>
    <row r="522" ht="15.75" customHeight="1">
      <c r="B522" s="5"/>
      <c r="E522" s="60"/>
      <c r="F522" s="60"/>
      <c r="K522" s="61"/>
      <c r="R522" s="61"/>
    </row>
    <row r="523" ht="15.75" customHeight="1">
      <c r="B523" s="5"/>
      <c r="E523" s="60"/>
      <c r="F523" s="60"/>
      <c r="K523" s="61"/>
      <c r="R523" s="61"/>
    </row>
    <row r="524" ht="15.75" customHeight="1">
      <c r="B524" s="5"/>
      <c r="E524" s="60"/>
      <c r="F524" s="60"/>
      <c r="K524" s="61"/>
      <c r="R524" s="61"/>
    </row>
    <row r="525" ht="15.75" customHeight="1">
      <c r="B525" s="5"/>
      <c r="E525" s="60"/>
      <c r="F525" s="60"/>
      <c r="K525" s="61"/>
      <c r="R525" s="61"/>
    </row>
    <row r="526" ht="15.75" customHeight="1">
      <c r="B526" s="5"/>
      <c r="E526" s="60"/>
      <c r="F526" s="60"/>
      <c r="K526" s="61"/>
      <c r="R526" s="61"/>
    </row>
    <row r="527" ht="15.75" customHeight="1">
      <c r="B527" s="5"/>
      <c r="E527" s="60"/>
      <c r="F527" s="60"/>
      <c r="K527" s="61"/>
      <c r="R527" s="61"/>
    </row>
    <row r="528" ht="15.75" customHeight="1">
      <c r="B528" s="5"/>
      <c r="E528" s="60"/>
      <c r="F528" s="60"/>
      <c r="K528" s="61"/>
      <c r="R528" s="61"/>
    </row>
    <row r="529" ht="15.75" customHeight="1">
      <c r="B529" s="5"/>
      <c r="E529" s="60"/>
      <c r="F529" s="60"/>
      <c r="K529" s="61"/>
      <c r="R529" s="61"/>
    </row>
    <row r="530" ht="15.75" customHeight="1">
      <c r="B530" s="5"/>
      <c r="E530" s="60"/>
      <c r="F530" s="60"/>
      <c r="K530" s="61"/>
      <c r="R530" s="61"/>
    </row>
    <row r="531" ht="15.75" customHeight="1">
      <c r="B531" s="5"/>
      <c r="E531" s="60"/>
      <c r="F531" s="60"/>
      <c r="K531" s="61"/>
      <c r="R531" s="61"/>
    </row>
    <row r="532" ht="15.75" customHeight="1">
      <c r="B532" s="5"/>
      <c r="E532" s="60"/>
      <c r="F532" s="60"/>
      <c r="K532" s="61"/>
      <c r="R532" s="61"/>
    </row>
    <row r="533" ht="15.75" customHeight="1">
      <c r="B533" s="5"/>
      <c r="E533" s="60"/>
      <c r="F533" s="60"/>
      <c r="K533" s="61"/>
      <c r="R533" s="61"/>
    </row>
    <row r="534" ht="15.75" customHeight="1">
      <c r="B534" s="5"/>
      <c r="E534" s="60"/>
      <c r="F534" s="60"/>
      <c r="K534" s="61"/>
      <c r="R534" s="61"/>
    </row>
    <row r="535" ht="15.75" customHeight="1">
      <c r="B535" s="5"/>
      <c r="E535" s="60"/>
      <c r="F535" s="60"/>
      <c r="K535" s="61"/>
      <c r="R535" s="61"/>
    </row>
    <row r="536" ht="15.75" customHeight="1">
      <c r="B536" s="5"/>
      <c r="E536" s="60"/>
      <c r="F536" s="60"/>
      <c r="K536" s="61"/>
      <c r="R536" s="61"/>
    </row>
    <row r="537" ht="15.75" customHeight="1">
      <c r="B537" s="5"/>
      <c r="E537" s="60"/>
      <c r="F537" s="60"/>
      <c r="K537" s="61"/>
      <c r="R537" s="61"/>
    </row>
    <row r="538" ht="15.75" customHeight="1">
      <c r="B538" s="5"/>
      <c r="E538" s="60"/>
      <c r="F538" s="60"/>
      <c r="K538" s="61"/>
      <c r="R538" s="61"/>
    </row>
    <row r="539" ht="15.75" customHeight="1">
      <c r="B539" s="5"/>
      <c r="E539" s="60"/>
      <c r="F539" s="60"/>
      <c r="K539" s="61"/>
      <c r="R539" s="61"/>
    </row>
    <row r="540" ht="15.75" customHeight="1">
      <c r="B540" s="5"/>
      <c r="E540" s="60"/>
      <c r="F540" s="60"/>
      <c r="K540" s="61"/>
      <c r="R540" s="61"/>
    </row>
    <row r="541" ht="15.75" customHeight="1">
      <c r="B541" s="5"/>
      <c r="E541" s="60"/>
      <c r="F541" s="60"/>
      <c r="K541" s="61"/>
      <c r="R541" s="61"/>
    </row>
    <row r="542" ht="15.75" customHeight="1">
      <c r="B542" s="5"/>
      <c r="E542" s="60"/>
      <c r="F542" s="60"/>
      <c r="K542" s="61"/>
      <c r="R542" s="61"/>
    </row>
    <row r="543" ht="15.75" customHeight="1">
      <c r="B543" s="5"/>
      <c r="E543" s="60"/>
      <c r="F543" s="60"/>
      <c r="K543" s="61"/>
      <c r="R543" s="61"/>
    </row>
    <row r="544" ht="15.75" customHeight="1">
      <c r="B544" s="5"/>
      <c r="E544" s="60"/>
      <c r="F544" s="60"/>
      <c r="K544" s="61"/>
      <c r="R544" s="61"/>
    </row>
    <row r="545" ht="15.75" customHeight="1">
      <c r="B545" s="5"/>
      <c r="E545" s="60"/>
      <c r="F545" s="60"/>
      <c r="K545" s="61"/>
      <c r="R545" s="61"/>
    </row>
    <row r="546" ht="15.75" customHeight="1">
      <c r="B546" s="5"/>
      <c r="E546" s="60"/>
      <c r="F546" s="60"/>
      <c r="K546" s="61"/>
      <c r="R546" s="61"/>
    </row>
    <row r="547" ht="15.75" customHeight="1">
      <c r="B547" s="5"/>
      <c r="E547" s="60"/>
      <c r="F547" s="60"/>
      <c r="K547" s="61"/>
      <c r="R547" s="61"/>
    </row>
    <row r="548" ht="15.75" customHeight="1">
      <c r="B548" s="5"/>
      <c r="E548" s="60"/>
      <c r="F548" s="60"/>
      <c r="K548" s="61"/>
      <c r="R548" s="61"/>
    </row>
    <row r="549" ht="15.75" customHeight="1">
      <c r="B549" s="5"/>
      <c r="E549" s="60"/>
      <c r="F549" s="60"/>
      <c r="K549" s="61"/>
      <c r="R549" s="61"/>
    </row>
    <row r="550" ht="15.75" customHeight="1">
      <c r="B550" s="5"/>
      <c r="E550" s="60"/>
      <c r="F550" s="60"/>
      <c r="K550" s="61"/>
      <c r="R550" s="61"/>
    </row>
    <row r="551" ht="15.75" customHeight="1">
      <c r="B551" s="5"/>
      <c r="E551" s="60"/>
      <c r="F551" s="60"/>
      <c r="K551" s="61"/>
      <c r="R551" s="61"/>
    </row>
    <row r="552" ht="15.75" customHeight="1">
      <c r="B552" s="5"/>
      <c r="E552" s="60"/>
      <c r="F552" s="60"/>
      <c r="K552" s="61"/>
      <c r="R552" s="61"/>
    </row>
    <row r="553" ht="15.75" customHeight="1">
      <c r="B553" s="5"/>
      <c r="E553" s="60"/>
      <c r="F553" s="60"/>
      <c r="K553" s="61"/>
      <c r="R553" s="61"/>
    </row>
    <row r="554" ht="15.75" customHeight="1">
      <c r="B554" s="5"/>
      <c r="E554" s="60"/>
      <c r="F554" s="60"/>
      <c r="K554" s="61"/>
      <c r="R554" s="61"/>
    </row>
    <row r="555" ht="15.75" customHeight="1">
      <c r="B555" s="5"/>
      <c r="E555" s="60"/>
      <c r="F555" s="60"/>
      <c r="K555" s="61"/>
      <c r="R555" s="61"/>
    </row>
    <row r="556" ht="15.75" customHeight="1">
      <c r="B556" s="5"/>
      <c r="E556" s="60"/>
      <c r="F556" s="60"/>
      <c r="K556" s="61"/>
      <c r="R556" s="61"/>
    </row>
    <row r="557" ht="15.75" customHeight="1">
      <c r="B557" s="5"/>
      <c r="E557" s="60"/>
      <c r="F557" s="60"/>
      <c r="K557" s="61"/>
      <c r="R557" s="61"/>
    </row>
    <row r="558" ht="15.75" customHeight="1">
      <c r="B558" s="5"/>
      <c r="E558" s="60"/>
      <c r="F558" s="60"/>
      <c r="K558" s="61"/>
      <c r="R558" s="61"/>
    </row>
    <row r="559" ht="15.75" customHeight="1">
      <c r="B559" s="5"/>
      <c r="E559" s="60"/>
      <c r="F559" s="60"/>
      <c r="K559" s="61"/>
      <c r="R559" s="61"/>
    </row>
    <row r="560" ht="15.75" customHeight="1">
      <c r="B560" s="5"/>
      <c r="E560" s="60"/>
      <c r="F560" s="60"/>
      <c r="K560" s="61"/>
      <c r="R560" s="61"/>
    </row>
    <row r="561" ht="15.75" customHeight="1">
      <c r="B561" s="5"/>
      <c r="E561" s="60"/>
      <c r="F561" s="60"/>
      <c r="K561" s="61"/>
      <c r="R561" s="61"/>
    </row>
    <row r="562" ht="15.75" customHeight="1">
      <c r="B562" s="5"/>
      <c r="E562" s="60"/>
      <c r="F562" s="60"/>
      <c r="K562" s="61"/>
      <c r="R562" s="61"/>
    </row>
    <row r="563" ht="15.75" customHeight="1">
      <c r="B563" s="5"/>
      <c r="E563" s="60"/>
      <c r="F563" s="60"/>
      <c r="K563" s="61"/>
      <c r="R563" s="61"/>
    </row>
    <row r="564" ht="15.75" customHeight="1">
      <c r="B564" s="5"/>
      <c r="E564" s="60"/>
      <c r="F564" s="60"/>
      <c r="K564" s="61"/>
      <c r="R564" s="61"/>
    </row>
    <row r="565" ht="15.75" customHeight="1">
      <c r="B565" s="5"/>
      <c r="E565" s="60"/>
      <c r="F565" s="60"/>
      <c r="K565" s="61"/>
      <c r="R565" s="61"/>
    </row>
    <row r="566" ht="15.75" customHeight="1">
      <c r="B566" s="5"/>
      <c r="E566" s="60"/>
      <c r="F566" s="60"/>
      <c r="K566" s="61"/>
      <c r="R566" s="61"/>
    </row>
    <row r="567" ht="15.75" customHeight="1">
      <c r="B567" s="5"/>
      <c r="E567" s="60"/>
      <c r="F567" s="60"/>
      <c r="K567" s="61"/>
      <c r="R567" s="61"/>
    </row>
    <row r="568" ht="15.75" customHeight="1">
      <c r="B568" s="5"/>
      <c r="E568" s="60"/>
      <c r="F568" s="60"/>
      <c r="K568" s="61"/>
      <c r="R568" s="61"/>
    </row>
    <row r="569" ht="15.75" customHeight="1">
      <c r="B569" s="5"/>
      <c r="E569" s="60"/>
      <c r="F569" s="60"/>
      <c r="K569" s="61"/>
      <c r="R569" s="61"/>
    </row>
    <row r="570" ht="15.75" customHeight="1">
      <c r="B570" s="5"/>
      <c r="E570" s="60"/>
      <c r="F570" s="60"/>
      <c r="K570" s="61"/>
      <c r="R570" s="61"/>
    </row>
    <row r="571" ht="15.75" customHeight="1">
      <c r="B571" s="5"/>
      <c r="E571" s="60"/>
      <c r="F571" s="60"/>
      <c r="K571" s="61"/>
      <c r="R571" s="61"/>
    </row>
    <row r="572" ht="15.75" customHeight="1">
      <c r="B572" s="5"/>
      <c r="E572" s="60"/>
      <c r="F572" s="60"/>
      <c r="K572" s="61"/>
      <c r="R572" s="61"/>
    </row>
    <row r="573" ht="15.75" customHeight="1">
      <c r="B573" s="5"/>
      <c r="E573" s="60"/>
      <c r="F573" s="60"/>
      <c r="K573" s="61"/>
      <c r="R573" s="61"/>
    </row>
    <row r="574" ht="15.75" customHeight="1">
      <c r="B574" s="5"/>
      <c r="E574" s="60"/>
      <c r="F574" s="60"/>
      <c r="K574" s="61"/>
      <c r="R574" s="61"/>
    </row>
    <row r="575" ht="15.75" customHeight="1">
      <c r="B575" s="5"/>
      <c r="E575" s="60"/>
      <c r="F575" s="60"/>
      <c r="K575" s="61"/>
      <c r="R575" s="61"/>
    </row>
    <row r="576" ht="15.75" customHeight="1">
      <c r="B576" s="5"/>
      <c r="E576" s="60"/>
      <c r="F576" s="60"/>
      <c r="K576" s="61"/>
      <c r="R576" s="61"/>
    </row>
    <row r="577" ht="15.75" customHeight="1">
      <c r="B577" s="5"/>
      <c r="E577" s="60"/>
      <c r="F577" s="60"/>
      <c r="K577" s="61"/>
      <c r="R577" s="61"/>
    </row>
    <row r="578" ht="15.75" customHeight="1">
      <c r="B578" s="5"/>
      <c r="E578" s="60"/>
      <c r="F578" s="60"/>
      <c r="K578" s="61"/>
      <c r="R578" s="61"/>
    </row>
    <row r="579" ht="15.75" customHeight="1">
      <c r="B579" s="5"/>
      <c r="E579" s="60"/>
      <c r="F579" s="60"/>
      <c r="K579" s="61"/>
      <c r="R579" s="61"/>
    </row>
    <row r="580" ht="15.75" customHeight="1">
      <c r="B580" s="5"/>
      <c r="E580" s="60"/>
      <c r="F580" s="60"/>
      <c r="K580" s="61"/>
      <c r="R580" s="61"/>
    </row>
    <row r="581" ht="15.75" customHeight="1">
      <c r="B581" s="5"/>
      <c r="E581" s="60"/>
      <c r="F581" s="60"/>
      <c r="K581" s="61"/>
      <c r="R581" s="61"/>
    </row>
    <row r="582" ht="15.75" customHeight="1">
      <c r="B582" s="5"/>
      <c r="E582" s="60"/>
      <c r="F582" s="60"/>
      <c r="K582" s="61"/>
      <c r="R582" s="61"/>
    </row>
    <row r="583" ht="15.75" customHeight="1">
      <c r="B583" s="5"/>
      <c r="E583" s="60"/>
      <c r="F583" s="60"/>
      <c r="K583" s="61"/>
      <c r="R583" s="61"/>
    </row>
    <row r="584" ht="15.75" customHeight="1">
      <c r="B584" s="5"/>
      <c r="E584" s="60"/>
      <c r="F584" s="60"/>
      <c r="K584" s="61"/>
      <c r="R584" s="61"/>
    </row>
    <row r="585" ht="15.75" customHeight="1">
      <c r="B585" s="5"/>
      <c r="E585" s="60"/>
      <c r="F585" s="60"/>
      <c r="K585" s="61"/>
      <c r="R585" s="61"/>
    </row>
    <row r="586" ht="15.75" customHeight="1">
      <c r="B586" s="5"/>
      <c r="E586" s="60"/>
      <c r="F586" s="60"/>
      <c r="K586" s="61"/>
      <c r="R586" s="61"/>
    </row>
    <row r="587" ht="15.75" customHeight="1">
      <c r="B587" s="5"/>
      <c r="E587" s="60"/>
      <c r="F587" s="60"/>
      <c r="K587" s="61"/>
      <c r="R587" s="61"/>
    </row>
    <row r="588" ht="15.75" customHeight="1">
      <c r="B588" s="5"/>
      <c r="E588" s="60"/>
      <c r="F588" s="60"/>
      <c r="K588" s="61"/>
      <c r="R588" s="61"/>
    </row>
    <row r="589" ht="15.75" customHeight="1">
      <c r="B589" s="5"/>
      <c r="E589" s="60"/>
      <c r="F589" s="60"/>
      <c r="K589" s="61"/>
      <c r="R589" s="61"/>
    </row>
    <row r="590" ht="15.75" customHeight="1">
      <c r="B590" s="5"/>
      <c r="E590" s="60"/>
      <c r="F590" s="60"/>
      <c r="K590" s="61"/>
      <c r="R590" s="61"/>
    </row>
    <row r="591" ht="15.75" customHeight="1">
      <c r="B591" s="5"/>
      <c r="E591" s="60"/>
      <c r="F591" s="60"/>
      <c r="K591" s="61"/>
      <c r="R591" s="61"/>
    </row>
    <row r="592" ht="15.75" customHeight="1">
      <c r="B592" s="5"/>
      <c r="E592" s="60"/>
      <c r="F592" s="60"/>
      <c r="K592" s="61"/>
      <c r="R592" s="61"/>
    </row>
    <row r="593" ht="15.75" customHeight="1">
      <c r="B593" s="5"/>
      <c r="E593" s="60"/>
      <c r="F593" s="60"/>
      <c r="K593" s="61"/>
      <c r="R593" s="61"/>
    </row>
    <row r="594" ht="15.75" customHeight="1">
      <c r="B594" s="5"/>
      <c r="E594" s="60"/>
      <c r="F594" s="60"/>
      <c r="K594" s="61"/>
      <c r="R594" s="61"/>
    </row>
    <row r="595" ht="15.75" customHeight="1">
      <c r="B595" s="5"/>
      <c r="E595" s="60"/>
      <c r="F595" s="60"/>
      <c r="K595" s="61"/>
      <c r="R595" s="61"/>
    </row>
    <row r="596" ht="15.75" customHeight="1">
      <c r="B596" s="5"/>
      <c r="E596" s="60"/>
      <c r="F596" s="60"/>
      <c r="K596" s="61"/>
      <c r="R596" s="61"/>
    </row>
    <row r="597" ht="15.75" customHeight="1">
      <c r="B597" s="5"/>
      <c r="E597" s="60"/>
      <c r="F597" s="60"/>
      <c r="K597" s="61"/>
      <c r="R597" s="61"/>
    </row>
    <row r="598" ht="15.75" customHeight="1">
      <c r="B598" s="5"/>
      <c r="E598" s="60"/>
      <c r="F598" s="60"/>
      <c r="K598" s="61"/>
      <c r="R598" s="61"/>
    </row>
    <row r="599" ht="15.75" customHeight="1">
      <c r="B599" s="5"/>
      <c r="E599" s="60"/>
      <c r="F599" s="60"/>
      <c r="K599" s="61"/>
      <c r="R599" s="61"/>
    </row>
    <row r="600" ht="15.75" customHeight="1">
      <c r="B600" s="5"/>
      <c r="E600" s="60"/>
      <c r="F600" s="60"/>
      <c r="K600" s="61"/>
      <c r="R600" s="61"/>
    </row>
    <row r="601" ht="15.75" customHeight="1">
      <c r="B601" s="5"/>
      <c r="E601" s="60"/>
      <c r="F601" s="60"/>
      <c r="K601" s="61"/>
      <c r="R601" s="61"/>
    </row>
    <row r="602" ht="15.75" customHeight="1">
      <c r="B602" s="5"/>
      <c r="E602" s="60"/>
      <c r="F602" s="60"/>
      <c r="K602" s="61"/>
      <c r="R602" s="61"/>
    </row>
    <row r="603" ht="15.75" customHeight="1">
      <c r="B603" s="5"/>
      <c r="E603" s="60"/>
      <c r="F603" s="60"/>
      <c r="K603" s="61"/>
      <c r="R603" s="61"/>
    </row>
    <row r="604" ht="15.75" customHeight="1">
      <c r="B604" s="5"/>
      <c r="E604" s="60"/>
      <c r="F604" s="60"/>
      <c r="K604" s="61"/>
      <c r="R604" s="61"/>
    </row>
    <row r="605" ht="15.75" customHeight="1">
      <c r="B605" s="5"/>
      <c r="E605" s="60"/>
      <c r="F605" s="60"/>
      <c r="K605" s="61"/>
      <c r="R605" s="61"/>
    </row>
    <row r="606" ht="15.75" customHeight="1">
      <c r="B606" s="5"/>
      <c r="E606" s="60"/>
      <c r="F606" s="60"/>
      <c r="K606" s="61"/>
      <c r="R606" s="61"/>
    </row>
    <row r="607" ht="15.75" customHeight="1">
      <c r="B607" s="5"/>
      <c r="E607" s="60"/>
      <c r="F607" s="60"/>
      <c r="K607" s="61"/>
      <c r="R607" s="61"/>
    </row>
    <row r="608" ht="15.75" customHeight="1">
      <c r="B608" s="5"/>
      <c r="E608" s="60"/>
      <c r="F608" s="60"/>
      <c r="K608" s="61"/>
      <c r="R608" s="61"/>
    </row>
    <row r="609" ht="15.75" customHeight="1">
      <c r="B609" s="5"/>
      <c r="E609" s="60"/>
      <c r="F609" s="60"/>
      <c r="K609" s="61"/>
      <c r="R609" s="61"/>
    </row>
    <row r="610" ht="15.75" customHeight="1">
      <c r="B610" s="5"/>
      <c r="E610" s="60"/>
      <c r="F610" s="60"/>
      <c r="K610" s="61"/>
      <c r="R610" s="61"/>
    </row>
    <row r="611" ht="15.75" customHeight="1">
      <c r="B611" s="5"/>
      <c r="E611" s="60"/>
      <c r="F611" s="60"/>
      <c r="K611" s="61"/>
      <c r="R611" s="61"/>
    </row>
    <row r="612" ht="15.75" customHeight="1">
      <c r="B612" s="5"/>
      <c r="E612" s="60"/>
      <c r="F612" s="60"/>
      <c r="K612" s="61"/>
      <c r="R612" s="61"/>
    </row>
    <row r="613" ht="15.75" customHeight="1">
      <c r="B613" s="5"/>
      <c r="E613" s="60"/>
      <c r="F613" s="60"/>
      <c r="K613" s="61"/>
      <c r="R613" s="61"/>
    </row>
    <row r="614" ht="15.75" customHeight="1">
      <c r="B614" s="5"/>
      <c r="E614" s="60"/>
      <c r="F614" s="60"/>
      <c r="K614" s="61"/>
      <c r="R614" s="61"/>
    </row>
    <row r="615" ht="15.75" customHeight="1">
      <c r="B615" s="5"/>
      <c r="E615" s="60"/>
      <c r="F615" s="60"/>
      <c r="K615" s="61"/>
      <c r="R615" s="61"/>
    </row>
    <row r="616" ht="15.75" customHeight="1">
      <c r="B616" s="5"/>
      <c r="E616" s="60"/>
      <c r="F616" s="60"/>
      <c r="K616" s="61"/>
      <c r="R616" s="61"/>
    </row>
    <row r="617" ht="15.75" customHeight="1">
      <c r="B617" s="5"/>
      <c r="E617" s="60"/>
      <c r="F617" s="60"/>
      <c r="K617" s="61"/>
      <c r="R617" s="61"/>
    </row>
    <row r="618" ht="15.75" customHeight="1">
      <c r="B618" s="5"/>
      <c r="E618" s="60"/>
      <c r="F618" s="60"/>
      <c r="K618" s="61"/>
      <c r="R618" s="61"/>
    </row>
    <row r="619" ht="15.75" customHeight="1">
      <c r="B619" s="5"/>
      <c r="E619" s="60"/>
      <c r="F619" s="60"/>
      <c r="K619" s="61"/>
      <c r="R619" s="61"/>
    </row>
    <row r="620" ht="15.75" customHeight="1">
      <c r="B620" s="5"/>
      <c r="E620" s="60"/>
      <c r="F620" s="60"/>
      <c r="K620" s="61"/>
      <c r="R620" s="61"/>
    </row>
    <row r="621" ht="15.75" customHeight="1">
      <c r="B621" s="5"/>
      <c r="E621" s="60"/>
      <c r="F621" s="60"/>
      <c r="K621" s="61"/>
      <c r="R621" s="61"/>
    </row>
    <row r="622" ht="15.75" customHeight="1">
      <c r="B622" s="5"/>
      <c r="E622" s="60"/>
      <c r="F622" s="60"/>
      <c r="K622" s="61"/>
      <c r="R622" s="61"/>
    </row>
    <row r="623" ht="15.75" customHeight="1">
      <c r="B623" s="5"/>
      <c r="E623" s="60"/>
      <c r="F623" s="60"/>
      <c r="K623" s="61"/>
      <c r="R623" s="61"/>
    </row>
    <row r="624" ht="15.75" customHeight="1">
      <c r="B624" s="5"/>
      <c r="E624" s="60"/>
      <c r="F624" s="60"/>
      <c r="K624" s="61"/>
      <c r="R624" s="61"/>
    </row>
    <row r="625" ht="15.75" customHeight="1">
      <c r="B625" s="5"/>
      <c r="E625" s="60"/>
      <c r="F625" s="60"/>
      <c r="K625" s="61"/>
      <c r="R625" s="61"/>
    </row>
    <row r="626" ht="15.75" customHeight="1">
      <c r="B626" s="5"/>
      <c r="E626" s="60"/>
      <c r="F626" s="60"/>
      <c r="K626" s="61"/>
      <c r="R626" s="61"/>
    </row>
    <row r="627" ht="15.75" customHeight="1">
      <c r="B627" s="5"/>
      <c r="E627" s="60"/>
      <c r="F627" s="60"/>
      <c r="K627" s="61"/>
      <c r="R627" s="61"/>
    </row>
    <row r="628" ht="15.75" customHeight="1">
      <c r="B628" s="5"/>
      <c r="E628" s="60"/>
      <c r="F628" s="60"/>
      <c r="K628" s="61"/>
      <c r="R628" s="61"/>
    </row>
    <row r="629" ht="15.75" customHeight="1">
      <c r="B629" s="5"/>
      <c r="E629" s="60"/>
      <c r="F629" s="60"/>
      <c r="K629" s="61"/>
      <c r="R629" s="61"/>
    </row>
    <row r="630" ht="15.75" customHeight="1">
      <c r="B630" s="5"/>
      <c r="E630" s="60"/>
      <c r="F630" s="60"/>
      <c r="K630" s="61"/>
      <c r="R630" s="61"/>
    </row>
    <row r="631" ht="15.75" customHeight="1">
      <c r="B631" s="5"/>
      <c r="E631" s="60"/>
      <c r="F631" s="60"/>
      <c r="K631" s="61"/>
      <c r="R631" s="61"/>
    </row>
    <row r="632" ht="15.75" customHeight="1">
      <c r="B632" s="5"/>
      <c r="E632" s="60"/>
      <c r="F632" s="60"/>
      <c r="K632" s="61"/>
      <c r="R632" s="61"/>
    </row>
    <row r="633" ht="15.75" customHeight="1">
      <c r="B633" s="5"/>
      <c r="E633" s="60"/>
      <c r="F633" s="60"/>
      <c r="K633" s="61"/>
      <c r="R633" s="61"/>
    </row>
    <row r="634" ht="15.75" customHeight="1">
      <c r="B634" s="5"/>
      <c r="E634" s="60"/>
      <c r="F634" s="60"/>
      <c r="K634" s="61"/>
      <c r="R634" s="61"/>
    </row>
    <row r="635" ht="15.75" customHeight="1">
      <c r="B635" s="5"/>
      <c r="E635" s="60"/>
      <c r="F635" s="60"/>
      <c r="K635" s="61"/>
      <c r="R635" s="61"/>
    </row>
    <row r="636" ht="15.75" customHeight="1">
      <c r="B636" s="5"/>
      <c r="E636" s="60"/>
      <c r="F636" s="60"/>
      <c r="K636" s="61"/>
      <c r="R636" s="61"/>
    </row>
    <row r="637" ht="15.75" customHeight="1">
      <c r="B637" s="5"/>
      <c r="E637" s="60"/>
      <c r="F637" s="60"/>
      <c r="K637" s="61"/>
      <c r="R637" s="61"/>
    </row>
    <row r="638" ht="15.75" customHeight="1">
      <c r="B638" s="5"/>
      <c r="E638" s="60"/>
      <c r="F638" s="60"/>
      <c r="K638" s="61"/>
      <c r="R638" s="61"/>
    </row>
    <row r="639" ht="15.75" customHeight="1">
      <c r="B639" s="5"/>
      <c r="E639" s="60"/>
      <c r="F639" s="60"/>
      <c r="K639" s="61"/>
      <c r="R639" s="61"/>
    </row>
    <row r="640" ht="15.75" customHeight="1">
      <c r="B640" s="5"/>
      <c r="E640" s="60"/>
      <c r="F640" s="60"/>
      <c r="K640" s="61"/>
      <c r="R640" s="61"/>
    </row>
    <row r="641" ht="15.75" customHeight="1">
      <c r="B641" s="5"/>
      <c r="E641" s="60"/>
      <c r="F641" s="60"/>
      <c r="K641" s="61"/>
      <c r="R641" s="61"/>
    </row>
    <row r="642" ht="15.75" customHeight="1">
      <c r="B642" s="5"/>
      <c r="E642" s="60"/>
      <c r="F642" s="60"/>
      <c r="K642" s="61"/>
      <c r="R642" s="61"/>
    </row>
    <row r="643" ht="15.75" customHeight="1">
      <c r="B643" s="5"/>
      <c r="E643" s="60"/>
      <c r="F643" s="60"/>
      <c r="K643" s="61"/>
      <c r="R643" s="61"/>
    </row>
    <row r="644" ht="15.75" customHeight="1">
      <c r="B644" s="5"/>
      <c r="E644" s="60"/>
      <c r="F644" s="60"/>
      <c r="K644" s="61"/>
      <c r="R644" s="61"/>
    </row>
    <row r="645" ht="15.75" customHeight="1">
      <c r="B645" s="5"/>
      <c r="E645" s="60"/>
      <c r="F645" s="60"/>
      <c r="K645" s="61"/>
      <c r="R645" s="61"/>
    </row>
    <row r="646" ht="15.75" customHeight="1">
      <c r="B646" s="5"/>
      <c r="E646" s="60"/>
      <c r="F646" s="60"/>
      <c r="K646" s="61"/>
      <c r="R646" s="61"/>
    </row>
    <row r="647" ht="15.75" customHeight="1">
      <c r="B647" s="5"/>
      <c r="E647" s="60"/>
      <c r="F647" s="60"/>
      <c r="K647" s="61"/>
      <c r="R647" s="61"/>
    </row>
    <row r="648" ht="15.75" customHeight="1">
      <c r="B648" s="5"/>
      <c r="E648" s="60"/>
      <c r="F648" s="60"/>
      <c r="K648" s="61"/>
      <c r="R648" s="61"/>
    </row>
    <row r="649" ht="15.75" customHeight="1">
      <c r="B649" s="5"/>
      <c r="E649" s="60"/>
      <c r="F649" s="60"/>
      <c r="K649" s="61"/>
      <c r="R649" s="61"/>
    </row>
    <row r="650" ht="15.75" customHeight="1">
      <c r="B650" s="5"/>
      <c r="E650" s="60"/>
      <c r="F650" s="60"/>
      <c r="K650" s="61"/>
      <c r="R650" s="61"/>
    </row>
    <row r="651" ht="15.75" customHeight="1">
      <c r="B651" s="5"/>
      <c r="E651" s="60"/>
      <c r="F651" s="60"/>
      <c r="K651" s="61"/>
      <c r="R651" s="61"/>
    </row>
    <row r="652" ht="15.75" customHeight="1">
      <c r="B652" s="5"/>
      <c r="E652" s="60"/>
      <c r="F652" s="60"/>
      <c r="K652" s="61"/>
      <c r="R652" s="61"/>
    </row>
    <row r="653" ht="15.75" customHeight="1">
      <c r="B653" s="5"/>
      <c r="E653" s="60"/>
      <c r="F653" s="60"/>
      <c r="K653" s="61"/>
      <c r="R653" s="61"/>
    </row>
    <row r="654" ht="15.75" customHeight="1">
      <c r="B654" s="5"/>
      <c r="E654" s="60"/>
      <c r="F654" s="60"/>
      <c r="K654" s="61"/>
      <c r="R654" s="61"/>
    </row>
    <row r="655" ht="15.75" customHeight="1">
      <c r="B655" s="5"/>
      <c r="E655" s="60"/>
      <c r="F655" s="60"/>
      <c r="K655" s="61"/>
      <c r="R655" s="61"/>
    </row>
    <row r="656" ht="15.75" customHeight="1">
      <c r="B656" s="5"/>
      <c r="E656" s="60"/>
      <c r="F656" s="60"/>
      <c r="K656" s="61"/>
      <c r="R656" s="61"/>
    </row>
    <row r="657" ht="15.75" customHeight="1">
      <c r="B657" s="5"/>
      <c r="E657" s="60"/>
      <c r="F657" s="60"/>
      <c r="K657" s="61"/>
      <c r="R657" s="61"/>
    </row>
    <row r="658" ht="15.75" customHeight="1">
      <c r="B658" s="5"/>
      <c r="E658" s="60"/>
      <c r="F658" s="60"/>
      <c r="K658" s="61"/>
      <c r="R658" s="61"/>
    </row>
    <row r="659" ht="15.75" customHeight="1">
      <c r="B659" s="5"/>
      <c r="E659" s="60"/>
      <c r="F659" s="60"/>
      <c r="K659" s="61"/>
      <c r="R659" s="61"/>
    </row>
    <row r="660" ht="15.75" customHeight="1">
      <c r="B660" s="5"/>
      <c r="E660" s="60"/>
      <c r="F660" s="60"/>
      <c r="K660" s="61"/>
      <c r="R660" s="61"/>
    </row>
    <row r="661" ht="15.75" customHeight="1">
      <c r="B661" s="5"/>
      <c r="E661" s="60"/>
      <c r="F661" s="60"/>
      <c r="K661" s="61"/>
      <c r="R661" s="61"/>
    </row>
    <row r="662" ht="15.75" customHeight="1">
      <c r="B662" s="5"/>
      <c r="E662" s="60"/>
      <c r="F662" s="60"/>
      <c r="K662" s="61"/>
      <c r="R662" s="61"/>
    </row>
    <row r="663" ht="15.75" customHeight="1">
      <c r="B663" s="5"/>
      <c r="E663" s="60"/>
      <c r="F663" s="60"/>
      <c r="K663" s="61"/>
      <c r="R663" s="61"/>
    </row>
    <row r="664" ht="15.75" customHeight="1">
      <c r="B664" s="5"/>
      <c r="E664" s="60"/>
      <c r="F664" s="60"/>
      <c r="K664" s="61"/>
      <c r="R664" s="61"/>
    </row>
    <row r="665" ht="15.75" customHeight="1">
      <c r="B665" s="5"/>
      <c r="E665" s="60"/>
      <c r="F665" s="60"/>
      <c r="K665" s="61"/>
      <c r="R665" s="61"/>
    </row>
    <row r="666" ht="15.75" customHeight="1">
      <c r="B666" s="5"/>
      <c r="E666" s="60"/>
      <c r="F666" s="60"/>
      <c r="K666" s="61"/>
      <c r="R666" s="61"/>
    </row>
    <row r="667" ht="15.75" customHeight="1">
      <c r="B667" s="5"/>
      <c r="E667" s="60"/>
      <c r="F667" s="60"/>
      <c r="K667" s="61"/>
      <c r="R667" s="61"/>
    </row>
    <row r="668" ht="15.75" customHeight="1">
      <c r="B668" s="5"/>
      <c r="E668" s="60"/>
      <c r="F668" s="60"/>
      <c r="K668" s="61"/>
      <c r="R668" s="61"/>
    </row>
    <row r="669" ht="15.75" customHeight="1">
      <c r="B669" s="5"/>
      <c r="E669" s="60"/>
      <c r="F669" s="60"/>
      <c r="K669" s="61"/>
      <c r="R669" s="61"/>
    </row>
    <row r="670" ht="15.75" customHeight="1">
      <c r="B670" s="5"/>
      <c r="E670" s="60"/>
      <c r="F670" s="60"/>
      <c r="K670" s="61"/>
      <c r="R670" s="61"/>
    </row>
    <row r="671" ht="15.75" customHeight="1">
      <c r="B671" s="5"/>
      <c r="E671" s="60"/>
      <c r="F671" s="60"/>
      <c r="K671" s="61"/>
      <c r="R671" s="61"/>
    </row>
    <row r="672" ht="15.75" customHeight="1">
      <c r="B672" s="5"/>
      <c r="E672" s="60"/>
      <c r="F672" s="60"/>
      <c r="K672" s="61"/>
      <c r="R672" s="61"/>
    </row>
    <row r="673" ht="15.75" customHeight="1">
      <c r="B673" s="5"/>
      <c r="E673" s="60"/>
      <c r="F673" s="60"/>
      <c r="K673" s="61"/>
      <c r="R673" s="61"/>
    </row>
    <row r="674" ht="15.75" customHeight="1">
      <c r="B674" s="5"/>
      <c r="E674" s="60"/>
      <c r="F674" s="60"/>
      <c r="K674" s="61"/>
      <c r="R674" s="61"/>
    </row>
    <row r="675" ht="15.75" customHeight="1">
      <c r="B675" s="5"/>
      <c r="E675" s="60"/>
      <c r="F675" s="60"/>
      <c r="K675" s="61"/>
      <c r="R675" s="61"/>
    </row>
    <row r="676" ht="15.75" customHeight="1">
      <c r="B676" s="5"/>
      <c r="E676" s="60"/>
      <c r="F676" s="60"/>
      <c r="K676" s="61"/>
      <c r="R676" s="61"/>
    </row>
    <row r="677" ht="15.75" customHeight="1">
      <c r="B677" s="5"/>
      <c r="E677" s="60"/>
      <c r="F677" s="60"/>
      <c r="K677" s="61"/>
      <c r="R677" s="61"/>
    </row>
    <row r="678" ht="15.75" customHeight="1">
      <c r="B678" s="5"/>
      <c r="E678" s="60"/>
      <c r="F678" s="60"/>
      <c r="K678" s="61"/>
      <c r="R678" s="61"/>
    </row>
    <row r="679" ht="15.75" customHeight="1">
      <c r="B679" s="5"/>
      <c r="E679" s="60"/>
      <c r="F679" s="60"/>
      <c r="K679" s="61"/>
      <c r="R679" s="61"/>
    </row>
    <row r="680" ht="15.75" customHeight="1">
      <c r="B680" s="5"/>
      <c r="E680" s="60"/>
      <c r="F680" s="60"/>
      <c r="K680" s="61"/>
      <c r="R680" s="61"/>
    </row>
    <row r="681" ht="15.75" customHeight="1">
      <c r="B681" s="5"/>
      <c r="E681" s="60"/>
      <c r="F681" s="60"/>
      <c r="K681" s="61"/>
      <c r="R681" s="61"/>
    </row>
    <row r="682" ht="15.75" customHeight="1">
      <c r="B682" s="5"/>
      <c r="E682" s="60"/>
      <c r="F682" s="60"/>
      <c r="K682" s="61"/>
      <c r="R682" s="61"/>
    </row>
    <row r="683" ht="15.75" customHeight="1">
      <c r="B683" s="5"/>
      <c r="E683" s="60"/>
      <c r="F683" s="60"/>
      <c r="K683" s="61"/>
      <c r="R683" s="61"/>
    </row>
    <row r="684" ht="15.75" customHeight="1">
      <c r="B684" s="5"/>
      <c r="E684" s="60"/>
      <c r="F684" s="60"/>
      <c r="K684" s="61"/>
      <c r="R684" s="61"/>
    </row>
    <row r="685" ht="15.75" customHeight="1">
      <c r="B685" s="5"/>
      <c r="E685" s="60"/>
      <c r="F685" s="60"/>
      <c r="K685" s="61"/>
      <c r="R685" s="61"/>
    </row>
    <row r="686" ht="15.75" customHeight="1">
      <c r="B686" s="5"/>
      <c r="E686" s="60"/>
      <c r="F686" s="60"/>
      <c r="K686" s="61"/>
      <c r="R686" s="61"/>
    </row>
    <row r="687" ht="15.75" customHeight="1">
      <c r="B687" s="5"/>
      <c r="E687" s="60"/>
      <c r="F687" s="60"/>
      <c r="K687" s="61"/>
      <c r="R687" s="61"/>
    </row>
    <row r="688" ht="15.75" customHeight="1">
      <c r="B688" s="5"/>
      <c r="E688" s="60"/>
      <c r="F688" s="60"/>
      <c r="K688" s="61"/>
      <c r="R688" s="61"/>
    </row>
    <row r="689" ht="15.75" customHeight="1">
      <c r="B689" s="5"/>
      <c r="E689" s="60"/>
      <c r="F689" s="60"/>
      <c r="K689" s="61"/>
      <c r="R689" s="61"/>
    </row>
    <row r="690" ht="15.75" customHeight="1">
      <c r="B690" s="5"/>
      <c r="E690" s="60"/>
      <c r="F690" s="60"/>
      <c r="K690" s="61"/>
      <c r="R690" s="61"/>
    </row>
    <row r="691" ht="15.75" customHeight="1">
      <c r="B691" s="5"/>
      <c r="E691" s="60"/>
      <c r="F691" s="60"/>
      <c r="K691" s="61"/>
      <c r="R691" s="61"/>
    </row>
    <row r="692" ht="15.75" customHeight="1">
      <c r="B692" s="5"/>
      <c r="E692" s="60"/>
      <c r="F692" s="60"/>
      <c r="K692" s="61"/>
      <c r="R692" s="61"/>
    </row>
    <row r="693" ht="15.75" customHeight="1">
      <c r="B693" s="5"/>
      <c r="E693" s="60"/>
      <c r="F693" s="60"/>
      <c r="K693" s="61"/>
      <c r="R693" s="61"/>
    </row>
    <row r="694" ht="15.75" customHeight="1">
      <c r="B694" s="5"/>
      <c r="E694" s="60"/>
      <c r="F694" s="60"/>
      <c r="K694" s="61"/>
      <c r="R694" s="61"/>
    </row>
    <row r="695" ht="15.75" customHeight="1">
      <c r="B695" s="5"/>
      <c r="E695" s="60"/>
      <c r="F695" s="60"/>
      <c r="K695" s="61"/>
      <c r="R695" s="61"/>
    </row>
    <row r="696" ht="15.75" customHeight="1">
      <c r="B696" s="5"/>
      <c r="E696" s="60"/>
      <c r="F696" s="60"/>
      <c r="K696" s="61"/>
      <c r="R696" s="61"/>
    </row>
    <row r="697" ht="15.75" customHeight="1">
      <c r="B697" s="5"/>
      <c r="E697" s="60"/>
      <c r="F697" s="60"/>
      <c r="K697" s="61"/>
      <c r="R697" s="61"/>
    </row>
    <row r="698" ht="15.75" customHeight="1">
      <c r="B698" s="5"/>
      <c r="E698" s="60"/>
      <c r="F698" s="60"/>
      <c r="K698" s="61"/>
      <c r="R698" s="61"/>
    </row>
    <row r="699" ht="15.75" customHeight="1">
      <c r="B699" s="5"/>
      <c r="E699" s="60"/>
      <c r="F699" s="60"/>
      <c r="K699" s="61"/>
      <c r="R699" s="61"/>
    </row>
    <row r="700" ht="15.75" customHeight="1">
      <c r="B700" s="5"/>
      <c r="E700" s="60"/>
      <c r="F700" s="60"/>
      <c r="K700" s="61"/>
      <c r="R700" s="61"/>
    </row>
    <row r="701" ht="15.75" customHeight="1">
      <c r="B701" s="5"/>
      <c r="E701" s="60"/>
      <c r="F701" s="60"/>
      <c r="K701" s="61"/>
      <c r="R701" s="61"/>
    </row>
    <row r="702" ht="15.75" customHeight="1">
      <c r="B702" s="5"/>
      <c r="E702" s="60"/>
      <c r="F702" s="60"/>
      <c r="K702" s="61"/>
      <c r="R702" s="61"/>
    </row>
    <row r="703" ht="15.75" customHeight="1">
      <c r="B703" s="5"/>
      <c r="E703" s="60"/>
      <c r="F703" s="60"/>
      <c r="K703" s="61"/>
      <c r="R703" s="61"/>
    </row>
    <row r="704" ht="15.75" customHeight="1">
      <c r="B704" s="5"/>
      <c r="E704" s="60"/>
      <c r="F704" s="60"/>
      <c r="K704" s="61"/>
      <c r="R704" s="61"/>
    </row>
    <row r="705" ht="15.75" customHeight="1">
      <c r="B705" s="5"/>
      <c r="E705" s="60"/>
      <c r="F705" s="60"/>
      <c r="K705" s="61"/>
      <c r="R705" s="61"/>
    </row>
    <row r="706" ht="15.75" customHeight="1">
      <c r="B706" s="5"/>
      <c r="E706" s="60"/>
      <c r="F706" s="60"/>
      <c r="K706" s="61"/>
      <c r="R706" s="61"/>
    </row>
    <row r="707" ht="15.75" customHeight="1">
      <c r="B707" s="5"/>
      <c r="E707" s="60"/>
      <c r="F707" s="60"/>
      <c r="K707" s="61"/>
      <c r="R707" s="61"/>
    </row>
    <row r="708" ht="15.75" customHeight="1">
      <c r="B708" s="5"/>
      <c r="E708" s="60"/>
      <c r="F708" s="60"/>
      <c r="K708" s="61"/>
      <c r="R708" s="61"/>
    </row>
    <row r="709" ht="15.75" customHeight="1">
      <c r="B709" s="5"/>
      <c r="E709" s="60"/>
      <c r="F709" s="60"/>
      <c r="K709" s="61"/>
      <c r="R709" s="61"/>
    </row>
    <row r="710" ht="15.75" customHeight="1">
      <c r="B710" s="5"/>
      <c r="E710" s="60"/>
      <c r="F710" s="60"/>
      <c r="K710" s="61"/>
      <c r="R710" s="61"/>
    </row>
    <row r="711" ht="15.75" customHeight="1">
      <c r="B711" s="5"/>
      <c r="E711" s="60"/>
      <c r="F711" s="60"/>
      <c r="K711" s="61"/>
      <c r="R711" s="61"/>
    </row>
    <row r="712" ht="15.75" customHeight="1">
      <c r="B712" s="5"/>
      <c r="E712" s="60"/>
      <c r="F712" s="60"/>
      <c r="K712" s="61"/>
      <c r="R712" s="61"/>
    </row>
    <row r="713" ht="15.75" customHeight="1">
      <c r="B713" s="5"/>
      <c r="E713" s="60"/>
      <c r="F713" s="60"/>
      <c r="K713" s="61"/>
      <c r="R713" s="61"/>
    </row>
    <row r="714" ht="15.75" customHeight="1">
      <c r="B714" s="5"/>
      <c r="E714" s="60"/>
      <c r="F714" s="60"/>
      <c r="K714" s="61"/>
      <c r="R714" s="61"/>
    </row>
    <row r="715" ht="15.75" customHeight="1">
      <c r="B715" s="5"/>
      <c r="E715" s="60"/>
      <c r="F715" s="60"/>
      <c r="K715" s="61"/>
      <c r="R715" s="61"/>
    </row>
    <row r="716" ht="15.75" customHeight="1">
      <c r="B716" s="5"/>
      <c r="E716" s="60"/>
      <c r="F716" s="60"/>
      <c r="K716" s="61"/>
      <c r="R716" s="61"/>
    </row>
    <row r="717" ht="15.75" customHeight="1">
      <c r="B717" s="5"/>
      <c r="E717" s="60"/>
      <c r="F717" s="60"/>
      <c r="K717" s="61"/>
      <c r="R717" s="61"/>
    </row>
    <row r="718" ht="15.75" customHeight="1">
      <c r="B718" s="5"/>
      <c r="E718" s="60"/>
      <c r="F718" s="60"/>
      <c r="K718" s="61"/>
      <c r="R718" s="61"/>
    </row>
    <row r="719" ht="15.75" customHeight="1">
      <c r="B719" s="5"/>
      <c r="E719" s="60"/>
      <c r="F719" s="60"/>
      <c r="K719" s="61"/>
      <c r="R719" s="61"/>
    </row>
    <row r="720" ht="15.75" customHeight="1">
      <c r="B720" s="5"/>
      <c r="E720" s="60"/>
      <c r="F720" s="60"/>
      <c r="K720" s="61"/>
      <c r="R720" s="61"/>
    </row>
    <row r="721" ht="15.75" customHeight="1">
      <c r="B721" s="5"/>
      <c r="E721" s="60"/>
      <c r="F721" s="60"/>
      <c r="K721" s="61"/>
      <c r="R721" s="61"/>
    </row>
    <row r="722" ht="15.75" customHeight="1">
      <c r="B722" s="5"/>
      <c r="E722" s="60"/>
      <c r="F722" s="60"/>
      <c r="K722" s="61"/>
      <c r="R722" s="61"/>
    </row>
    <row r="723" ht="15.75" customHeight="1">
      <c r="B723" s="5"/>
      <c r="E723" s="60"/>
      <c r="F723" s="60"/>
      <c r="K723" s="61"/>
      <c r="R723" s="61"/>
    </row>
    <row r="724" ht="15.75" customHeight="1">
      <c r="B724" s="5"/>
      <c r="E724" s="60"/>
      <c r="F724" s="60"/>
      <c r="K724" s="61"/>
      <c r="R724" s="61"/>
    </row>
    <row r="725" ht="15.75" customHeight="1">
      <c r="B725" s="5"/>
      <c r="E725" s="60"/>
      <c r="F725" s="60"/>
      <c r="K725" s="61"/>
      <c r="R725" s="61"/>
    </row>
    <row r="726" ht="15.75" customHeight="1">
      <c r="B726" s="5"/>
      <c r="E726" s="60"/>
      <c r="F726" s="60"/>
      <c r="K726" s="61"/>
      <c r="R726" s="61"/>
    </row>
    <row r="727" ht="15.75" customHeight="1">
      <c r="B727" s="5"/>
      <c r="E727" s="60"/>
      <c r="F727" s="60"/>
      <c r="K727" s="61"/>
      <c r="R727" s="61"/>
    </row>
    <row r="728" ht="15.75" customHeight="1">
      <c r="B728" s="5"/>
      <c r="E728" s="60"/>
      <c r="F728" s="60"/>
      <c r="K728" s="61"/>
      <c r="R728" s="61"/>
    </row>
    <row r="729" ht="15.75" customHeight="1">
      <c r="B729" s="5"/>
      <c r="E729" s="60"/>
      <c r="F729" s="60"/>
      <c r="K729" s="61"/>
      <c r="R729" s="61"/>
    </row>
    <row r="730" ht="15.75" customHeight="1">
      <c r="B730" s="5"/>
      <c r="E730" s="60"/>
      <c r="F730" s="60"/>
      <c r="K730" s="61"/>
      <c r="R730" s="61"/>
    </row>
    <row r="731" ht="15.75" customHeight="1">
      <c r="B731" s="5"/>
      <c r="E731" s="60"/>
      <c r="F731" s="60"/>
      <c r="K731" s="61"/>
      <c r="R731" s="61"/>
    </row>
    <row r="732" ht="15.75" customHeight="1">
      <c r="B732" s="5"/>
      <c r="E732" s="60"/>
      <c r="F732" s="60"/>
      <c r="K732" s="61"/>
      <c r="R732" s="61"/>
    </row>
    <row r="733" ht="15.75" customHeight="1">
      <c r="B733" s="5"/>
      <c r="E733" s="60"/>
      <c r="F733" s="60"/>
      <c r="K733" s="61"/>
      <c r="R733" s="61"/>
    </row>
    <row r="734" ht="15.75" customHeight="1">
      <c r="B734" s="5"/>
      <c r="E734" s="60"/>
      <c r="F734" s="60"/>
      <c r="K734" s="61"/>
      <c r="R734" s="61"/>
    </row>
    <row r="735" ht="15.75" customHeight="1">
      <c r="B735" s="5"/>
      <c r="E735" s="60"/>
      <c r="F735" s="60"/>
      <c r="K735" s="61"/>
      <c r="R735" s="61"/>
    </row>
    <row r="736" ht="15.75" customHeight="1">
      <c r="B736" s="5"/>
      <c r="E736" s="60"/>
      <c r="F736" s="60"/>
      <c r="K736" s="61"/>
      <c r="R736" s="61"/>
    </row>
    <row r="737" ht="15.75" customHeight="1">
      <c r="B737" s="5"/>
      <c r="E737" s="60"/>
      <c r="F737" s="60"/>
      <c r="K737" s="61"/>
      <c r="R737" s="61"/>
    </row>
    <row r="738" ht="15.75" customHeight="1">
      <c r="B738" s="5"/>
      <c r="E738" s="60"/>
      <c r="F738" s="60"/>
      <c r="K738" s="61"/>
      <c r="R738" s="61"/>
    </row>
    <row r="739" ht="15.75" customHeight="1">
      <c r="B739" s="5"/>
      <c r="E739" s="60"/>
      <c r="F739" s="60"/>
      <c r="K739" s="61"/>
      <c r="R739" s="61"/>
    </row>
    <row r="740" ht="15.75" customHeight="1">
      <c r="B740" s="5"/>
      <c r="E740" s="60"/>
      <c r="F740" s="60"/>
      <c r="K740" s="61"/>
      <c r="R740" s="61"/>
    </row>
    <row r="741" ht="15.75" customHeight="1">
      <c r="B741" s="5"/>
      <c r="E741" s="60"/>
      <c r="F741" s="60"/>
      <c r="K741" s="61"/>
      <c r="R741" s="61"/>
    </row>
    <row r="742" ht="15.75" customHeight="1">
      <c r="B742" s="5"/>
      <c r="E742" s="60"/>
      <c r="F742" s="60"/>
      <c r="K742" s="61"/>
      <c r="R742" s="61"/>
    </row>
    <row r="743" ht="15.75" customHeight="1">
      <c r="B743" s="5"/>
      <c r="E743" s="60"/>
      <c r="F743" s="60"/>
      <c r="K743" s="61"/>
      <c r="R743" s="61"/>
    </row>
    <row r="744" ht="15.75" customHeight="1">
      <c r="B744" s="5"/>
      <c r="E744" s="60"/>
      <c r="F744" s="60"/>
      <c r="K744" s="61"/>
      <c r="R744" s="61"/>
    </row>
    <row r="745" ht="15.75" customHeight="1">
      <c r="B745" s="5"/>
      <c r="E745" s="60"/>
      <c r="F745" s="60"/>
      <c r="K745" s="61"/>
      <c r="R745" s="61"/>
    </row>
    <row r="746" ht="15.75" customHeight="1">
      <c r="B746" s="5"/>
      <c r="E746" s="60"/>
      <c r="F746" s="60"/>
      <c r="K746" s="61"/>
      <c r="R746" s="61"/>
    </row>
    <row r="747" ht="15.75" customHeight="1">
      <c r="B747" s="5"/>
      <c r="E747" s="60"/>
      <c r="F747" s="60"/>
      <c r="K747" s="61"/>
      <c r="R747" s="61"/>
    </row>
    <row r="748" ht="15.75" customHeight="1">
      <c r="B748" s="5"/>
      <c r="E748" s="60"/>
      <c r="F748" s="60"/>
      <c r="K748" s="61"/>
      <c r="R748" s="61"/>
    </row>
    <row r="749" ht="15.75" customHeight="1">
      <c r="B749" s="5"/>
      <c r="E749" s="60"/>
      <c r="F749" s="60"/>
      <c r="K749" s="61"/>
      <c r="R749" s="61"/>
    </row>
    <row r="750" ht="15.75" customHeight="1">
      <c r="B750" s="5"/>
      <c r="E750" s="60"/>
      <c r="F750" s="60"/>
      <c r="K750" s="61"/>
      <c r="R750" s="61"/>
    </row>
    <row r="751" ht="15.75" customHeight="1">
      <c r="B751" s="5"/>
      <c r="E751" s="60"/>
      <c r="F751" s="60"/>
      <c r="K751" s="61"/>
      <c r="R751" s="61"/>
    </row>
    <row r="752" ht="15.75" customHeight="1">
      <c r="B752" s="5"/>
      <c r="E752" s="60"/>
      <c r="F752" s="60"/>
      <c r="K752" s="61"/>
      <c r="R752" s="61"/>
    </row>
    <row r="753" ht="15.75" customHeight="1">
      <c r="B753" s="5"/>
      <c r="E753" s="60"/>
      <c r="F753" s="60"/>
      <c r="K753" s="61"/>
      <c r="R753" s="61"/>
    </row>
    <row r="754" ht="15.75" customHeight="1">
      <c r="B754" s="5"/>
      <c r="E754" s="60"/>
      <c r="F754" s="60"/>
      <c r="K754" s="61"/>
      <c r="R754" s="61"/>
    </row>
    <row r="755" ht="15.75" customHeight="1">
      <c r="B755" s="5"/>
      <c r="E755" s="60"/>
      <c r="F755" s="60"/>
      <c r="K755" s="61"/>
      <c r="R755" s="61"/>
    </row>
    <row r="756" ht="15.75" customHeight="1">
      <c r="B756" s="5"/>
      <c r="E756" s="60"/>
      <c r="F756" s="60"/>
      <c r="K756" s="61"/>
      <c r="R756" s="61"/>
    </row>
    <row r="757" ht="15.75" customHeight="1">
      <c r="B757" s="5"/>
      <c r="E757" s="60"/>
      <c r="F757" s="60"/>
      <c r="K757" s="61"/>
      <c r="R757" s="61"/>
    </row>
    <row r="758" ht="15.75" customHeight="1">
      <c r="B758" s="5"/>
      <c r="E758" s="60"/>
      <c r="F758" s="60"/>
      <c r="K758" s="61"/>
      <c r="R758" s="61"/>
    </row>
    <row r="759" ht="15.75" customHeight="1">
      <c r="B759" s="5"/>
      <c r="E759" s="60"/>
      <c r="F759" s="60"/>
      <c r="K759" s="61"/>
      <c r="R759" s="61"/>
    </row>
    <row r="760" ht="15.75" customHeight="1">
      <c r="B760" s="5"/>
      <c r="E760" s="60"/>
      <c r="F760" s="60"/>
      <c r="K760" s="61"/>
      <c r="R760" s="61"/>
    </row>
    <row r="761" ht="15.75" customHeight="1">
      <c r="B761" s="5"/>
      <c r="E761" s="60"/>
      <c r="F761" s="60"/>
      <c r="K761" s="61"/>
      <c r="R761" s="61"/>
    </row>
    <row r="762" ht="15.75" customHeight="1">
      <c r="B762" s="5"/>
      <c r="E762" s="60"/>
      <c r="F762" s="60"/>
      <c r="K762" s="61"/>
      <c r="R762" s="61"/>
    </row>
    <row r="763" ht="15.75" customHeight="1">
      <c r="B763" s="5"/>
      <c r="E763" s="60"/>
      <c r="F763" s="60"/>
      <c r="K763" s="61"/>
      <c r="R763" s="61"/>
    </row>
    <row r="764" ht="15.75" customHeight="1">
      <c r="B764" s="5"/>
      <c r="E764" s="60"/>
      <c r="F764" s="60"/>
      <c r="K764" s="61"/>
      <c r="R764" s="61"/>
    </row>
    <row r="765" ht="15.75" customHeight="1">
      <c r="B765" s="5"/>
      <c r="E765" s="60"/>
      <c r="F765" s="60"/>
      <c r="K765" s="61"/>
      <c r="R765" s="61"/>
    </row>
    <row r="766" ht="15.75" customHeight="1">
      <c r="B766" s="5"/>
      <c r="E766" s="60"/>
      <c r="F766" s="60"/>
      <c r="K766" s="61"/>
      <c r="R766" s="61"/>
    </row>
    <row r="767" ht="15.75" customHeight="1">
      <c r="B767" s="5"/>
      <c r="E767" s="60"/>
      <c r="F767" s="60"/>
      <c r="K767" s="61"/>
      <c r="R767" s="61"/>
    </row>
    <row r="768" ht="15.75" customHeight="1">
      <c r="B768" s="5"/>
      <c r="E768" s="60"/>
      <c r="F768" s="60"/>
      <c r="K768" s="61"/>
      <c r="R768" s="61"/>
    </row>
    <row r="769" ht="15.75" customHeight="1">
      <c r="B769" s="5"/>
      <c r="E769" s="60"/>
      <c r="F769" s="60"/>
      <c r="K769" s="61"/>
      <c r="R769" s="61"/>
    </row>
    <row r="770" ht="15.75" customHeight="1">
      <c r="B770" s="5"/>
      <c r="E770" s="60"/>
      <c r="F770" s="60"/>
      <c r="K770" s="61"/>
      <c r="R770" s="61"/>
    </row>
    <row r="771" ht="15.75" customHeight="1">
      <c r="B771" s="5"/>
      <c r="E771" s="60"/>
      <c r="F771" s="60"/>
      <c r="K771" s="61"/>
      <c r="R771" s="61"/>
    </row>
    <row r="772" ht="15.75" customHeight="1">
      <c r="B772" s="5"/>
      <c r="E772" s="60"/>
      <c r="F772" s="60"/>
      <c r="K772" s="61"/>
      <c r="R772" s="61"/>
    </row>
    <row r="773" ht="15.75" customHeight="1">
      <c r="B773" s="5"/>
      <c r="E773" s="60"/>
      <c r="F773" s="60"/>
      <c r="K773" s="61"/>
      <c r="R773" s="61"/>
    </row>
    <row r="774" ht="15.75" customHeight="1">
      <c r="B774" s="5"/>
      <c r="E774" s="60"/>
      <c r="F774" s="60"/>
      <c r="K774" s="61"/>
      <c r="R774" s="61"/>
    </row>
    <row r="775" ht="15.75" customHeight="1">
      <c r="B775" s="5"/>
      <c r="E775" s="60"/>
      <c r="F775" s="60"/>
      <c r="K775" s="61"/>
      <c r="R775" s="61"/>
    </row>
    <row r="776" ht="15.75" customHeight="1">
      <c r="B776" s="5"/>
      <c r="E776" s="60"/>
      <c r="F776" s="60"/>
      <c r="K776" s="61"/>
      <c r="R776" s="61"/>
    </row>
    <row r="777" ht="15.75" customHeight="1">
      <c r="B777" s="5"/>
      <c r="E777" s="60"/>
      <c r="F777" s="60"/>
      <c r="K777" s="61"/>
      <c r="R777" s="61"/>
    </row>
    <row r="778" ht="15.75" customHeight="1">
      <c r="B778" s="5"/>
      <c r="E778" s="60"/>
      <c r="F778" s="60"/>
      <c r="K778" s="61"/>
      <c r="R778" s="61"/>
    </row>
    <row r="779" ht="15.75" customHeight="1">
      <c r="B779" s="5"/>
      <c r="E779" s="60"/>
      <c r="F779" s="60"/>
      <c r="K779" s="61"/>
      <c r="R779" s="61"/>
    </row>
    <row r="780" ht="15.75" customHeight="1">
      <c r="B780" s="5"/>
      <c r="E780" s="60"/>
      <c r="F780" s="60"/>
      <c r="K780" s="61"/>
      <c r="R780" s="61"/>
    </row>
    <row r="781" ht="15.75" customHeight="1">
      <c r="B781" s="5"/>
      <c r="E781" s="60"/>
      <c r="F781" s="60"/>
      <c r="K781" s="61"/>
      <c r="R781" s="61"/>
    </row>
    <row r="782" ht="15.75" customHeight="1">
      <c r="B782" s="5"/>
      <c r="E782" s="60"/>
      <c r="F782" s="60"/>
      <c r="K782" s="61"/>
      <c r="R782" s="61"/>
    </row>
    <row r="783" ht="15.75" customHeight="1">
      <c r="B783" s="5"/>
      <c r="E783" s="60"/>
      <c r="F783" s="60"/>
      <c r="K783" s="61"/>
      <c r="R783" s="61"/>
    </row>
    <row r="784" ht="15.75" customHeight="1">
      <c r="B784" s="5"/>
      <c r="E784" s="60"/>
      <c r="F784" s="60"/>
      <c r="K784" s="61"/>
      <c r="R784" s="61"/>
    </row>
    <row r="785" ht="15.75" customHeight="1">
      <c r="B785" s="5"/>
      <c r="E785" s="60"/>
      <c r="F785" s="60"/>
      <c r="K785" s="61"/>
      <c r="R785" s="61"/>
    </row>
    <row r="786" ht="15.75" customHeight="1">
      <c r="B786" s="5"/>
      <c r="E786" s="60"/>
      <c r="F786" s="60"/>
      <c r="K786" s="61"/>
      <c r="R786" s="61"/>
    </row>
    <row r="787" ht="15.75" customHeight="1">
      <c r="B787" s="5"/>
      <c r="E787" s="60"/>
      <c r="F787" s="60"/>
      <c r="K787" s="61"/>
      <c r="R787" s="61"/>
    </row>
    <row r="788" ht="15.75" customHeight="1">
      <c r="B788" s="5"/>
      <c r="E788" s="60"/>
      <c r="F788" s="60"/>
      <c r="K788" s="61"/>
      <c r="R788" s="61"/>
    </row>
    <row r="789" ht="15.75" customHeight="1">
      <c r="B789" s="5"/>
      <c r="E789" s="60"/>
      <c r="F789" s="60"/>
      <c r="K789" s="61"/>
      <c r="R789" s="61"/>
    </row>
    <row r="790" ht="15.75" customHeight="1">
      <c r="B790" s="5"/>
      <c r="E790" s="60"/>
      <c r="F790" s="60"/>
      <c r="K790" s="61"/>
      <c r="R790" s="61"/>
    </row>
    <row r="791" ht="15.75" customHeight="1">
      <c r="B791" s="5"/>
      <c r="E791" s="60"/>
      <c r="F791" s="60"/>
      <c r="K791" s="61"/>
      <c r="R791" s="61"/>
    </row>
    <row r="792" ht="15.75" customHeight="1">
      <c r="B792" s="5"/>
      <c r="E792" s="60"/>
      <c r="F792" s="60"/>
      <c r="K792" s="61"/>
      <c r="R792" s="61"/>
    </row>
    <row r="793" ht="15.75" customHeight="1">
      <c r="B793" s="5"/>
      <c r="E793" s="60"/>
      <c r="F793" s="60"/>
      <c r="K793" s="61"/>
      <c r="R793" s="61"/>
    </row>
    <row r="794" ht="15.75" customHeight="1">
      <c r="B794" s="5"/>
      <c r="E794" s="60"/>
      <c r="F794" s="60"/>
      <c r="K794" s="61"/>
      <c r="R794" s="61"/>
    </row>
    <row r="795" ht="15.75" customHeight="1">
      <c r="B795" s="5"/>
      <c r="E795" s="60"/>
      <c r="F795" s="60"/>
      <c r="K795" s="61"/>
      <c r="R795" s="61"/>
    </row>
    <row r="796" ht="15.75" customHeight="1">
      <c r="B796" s="5"/>
      <c r="E796" s="60"/>
      <c r="F796" s="60"/>
      <c r="K796" s="61"/>
      <c r="R796" s="61"/>
    </row>
    <row r="797" ht="15.75" customHeight="1">
      <c r="B797" s="5"/>
      <c r="E797" s="60"/>
      <c r="F797" s="60"/>
      <c r="K797" s="61"/>
      <c r="R797" s="61"/>
    </row>
    <row r="798" ht="15.75" customHeight="1">
      <c r="B798" s="5"/>
      <c r="E798" s="60"/>
      <c r="F798" s="60"/>
      <c r="K798" s="61"/>
      <c r="R798" s="61"/>
    </row>
    <row r="799" ht="15.75" customHeight="1">
      <c r="B799" s="5"/>
      <c r="E799" s="60"/>
      <c r="F799" s="60"/>
      <c r="K799" s="61"/>
      <c r="R799" s="61"/>
    </row>
    <row r="800" ht="15.75" customHeight="1">
      <c r="B800" s="5"/>
      <c r="E800" s="60"/>
      <c r="F800" s="60"/>
      <c r="K800" s="61"/>
      <c r="R800" s="61"/>
    </row>
    <row r="801" ht="15.75" customHeight="1">
      <c r="B801" s="5"/>
      <c r="E801" s="60"/>
      <c r="F801" s="60"/>
      <c r="K801" s="61"/>
      <c r="R801" s="61"/>
    </row>
    <row r="802" ht="15.75" customHeight="1">
      <c r="B802" s="5"/>
      <c r="E802" s="60"/>
      <c r="F802" s="60"/>
      <c r="K802" s="61"/>
      <c r="R802" s="61"/>
    </row>
    <row r="803" ht="15.75" customHeight="1">
      <c r="B803" s="5"/>
      <c r="E803" s="60"/>
      <c r="F803" s="60"/>
      <c r="K803" s="61"/>
      <c r="R803" s="61"/>
    </row>
    <row r="804" ht="15.75" customHeight="1">
      <c r="B804" s="5"/>
      <c r="E804" s="60"/>
      <c r="F804" s="60"/>
      <c r="K804" s="61"/>
      <c r="R804" s="61"/>
    </row>
    <row r="805" ht="15.75" customHeight="1">
      <c r="B805" s="5"/>
      <c r="E805" s="60"/>
      <c r="F805" s="60"/>
      <c r="K805" s="61"/>
      <c r="R805" s="61"/>
    </row>
    <row r="806" ht="15.75" customHeight="1">
      <c r="B806" s="5"/>
      <c r="E806" s="60"/>
      <c r="F806" s="60"/>
      <c r="K806" s="61"/>
      <c r="R806" s="61"/>
    </row>
    <row r="807" ht="15.75" customHeight="1">
      <c r="B807" s="5"/>
      <c r="E807" s="60"/>
      <c r="F807" s="60"/>
      <c r="K807" s="61"/>
      <c r="R807" s="61"/>
    </row>
    <row r="808" ht="15.75" customHeight="1">
      <c r="B808" s="5"/>
      <c r="E808" s="60"/>
      <c r="F808" s="60"/>
      <c r="K808" s="61"/>
      <c r="R808" s="61"/>
    </row>
    <row r="809" ht="15.75" customHeight="1">
      <c r="B809" s="5"/>
      <c r="E809" s="60"/>
      <c r="F809" s="60"/>
      <c r="K809" s="61"/>
      <c r="R809" s="61"/>
    </row>
    <row r="810" ht="15.75" customHeight="1">
      <c r="B810" s="5"/>
      <c r="E810" s="60"/>
      <c r="F810" s="60"/>
      <c r="K810" s="61"/>
      <c r="R810" s="61"/>
    </row>
    <row r="811" ht="15.75" customHeight="1">
      <c r="B811" s="5"/>
      <c r="E811" s="60"/>
      <c r="F811" s="60"/>
      <c r="K811" s="61"/>
      <c r="R811" s="61"/>
    </row>
    <row r="812" ht="15.75" customHeight="1">
      <c r="B812" s="5"/>
      <c r="E812" s="60"/>
      <c r="F812" s="60"/>
      <c r="K812" s="61"/>
      <c r="R812" s="61"/>
    </row>
    <row r="813" ht="15.75" customHeight="1">
      <c r="B813" s="5"/>
      <c r="E813" s="60"/>
      <c r="F813" s="60"/>
      <c r="K813" s="61"/>
      <c r="R813" s="61"/>
    </row>
    <row r="814" ht="15.75" customHeight="1">
      <c r="B814" s="5"/>
      <c r="E814" s="60"/>
      <c r="F814" s="60"/>
      <c r="K814" s="61"/>
      <c r="R814" s="61"/>
    </row>
    <row r="815" ht="15.75" customHeight="1">
      <c r="B815" s="5"/>
      <c r="E815" s="60"/>
      <c r="F815" s="60"/>
      <c r="K815" s="61"/>
      <c r="R815" s="61"/>
    </row>
    <row r="816" ht="15.75" customHeight="1">
      <c r="B816" s="5"/>
      <c r="E816" s="60"/>
      <c r="F816" s="60"/>
      <c r="K816" s="61"/>
      <c r="R816" s="61"/>
    </row>
    <row r="817" ht="15.75" customHeight="1">
      <c r="B817" s="5"/>
      <c r="E817" s="60"/>
      <c r="F817" s="60"/>
      <c r="K817" s="61"/>
      <c r="R817" s="61"/>
    </row>
    <row r="818" ht="15.75" customHeight="1">
      <c r="B818" s="5"/>
      <c r="E818" s="60"/>
      <c r="F818" s="60"/>
      <c r="K818" s="61"/>
      <c r="R818" s="61"/>
    </row>
    <row r="819" ht="15.75" customHeight="1">
      <c r="B819" s="5"/>
      <c r="E819" s="60"/>
      <c r="F819" s="60"/>
      <c r="K819" s="61"/>
      <c r="R819" s="61"/>
    </row>
    <row r="820" ht="15.75" customHeight="1">
      <c r="B820" s="5"/>
      <c r="E820" s="60"/>
      <c r="F820" s="60"/>
      <c r="K820" s="61"/>
      <c r="R820" s="61"/>
    </row>
    <row r="821" ht="15.75" customHeight="1">
      <c r="B821" s="5"/>
      <c r="E821" s="60"/>
      <c r="F821" s="60"/>
      <c r="K821" s="61"/>
      <c r="R821" s="61"/>
    </row>
    <row r="822" ht="15.75" customHeight="1">
      <c r="B822" s="5"/>
      <c r="E822" s="60"/>
      <c r="F822" s="60"/>
      <c r="K822" s="61"/>
      <c r="R822" s="61"/>
    </row>
    <row r="823" ht="15.75" customHeight="1">
      <c r="B823" s="5"/>
      <c r="E823" s="60"/>
      <c r="F823" s="60"/>
      <c r="K823" s="61"/>
      <c r="R823" s="61"/>
    </row>
    <row r="824" ht="15.75" customHeight="1">
      <c r="B824" s="5"/>
      <c r="E824" s="60"/>
      <c r="F824" s="60"/>
      <c r="K824" s="61"/>
      <c r="R824" s="61"/>
    </row>
    <row r="825" ht="15.75" customHeight="1">
      <c r="B825" s="5"/>
      <c r="E825" s="60"/>
      <c r="F825" s="60"/>
      <c r="K825" s="61"/>
      <c r="R825" s="61"/>
    </row>
    <row r="826" ht="15.75" customHeight="1">
      <c r="B826" s="5"/>
      <c r="E826" s="60"/>
      <c r="F826" s="60"/>
      <c r="K826" s="61"/>
      <c r="R826" s="61"/>
    </row>
    <row r="827" ht="15.75" customHeight="1">
      <c r="B827" s="5"/>
      <c r="E827" s="60"/>
      <c r="F827" s="60"/>
      <c r="K827" s="61"/>
      <c r="R827" s="61"/>
    </row>
    <row r="828" ht="15.75" customHeight="1">
      <c r="B828" s="5"/>
      <c r="E828" s="60"/>
      <c r="F828" s="60"/>
      <c r="K828" s="61"/>
      <c r="R828" s="61"/>
    </row>
    <row r="829" ht="15.75" customHeight="1">
      <c r="B829" s="5"/>
      <c r="E829" s="60"/>
      <c r="F829" s="60"/>
      <c r="K829" s="61"/>
      <c r="R829" s="61"/>
    </row>
    <row r="830" ht="15.75" customHeight="1">
      <c r="B830" s="5"/>
      <c r="E830" s="60"/>
      <c r="F830" s="60"/>
      <c r="K830" s="61"/>
      <c r="R830" s="61"/>
    </row>
    <row r="831" ht="15.75" customHeight="1">
      <c r="B831" s="5"/>
      <c r="E831" s="60"/>
      <c r="F831" s="60"/>
      <c r="K831" s="61"/>
      <c r="R831" s="61"/>
    </row>
    <row r="832" ht="15.75" customHeight="1">
      <c r="B832" s="5"/>
      <c r="E832" s="60"/>
      <c r="F832" s="60"/>
      <c r="K832" s="61"/>
      <c r="R832" s="61"/>
    </row>
    <row r="833" ht="15.75" customHeight="1">
      <c r="B833" s="5"/>
      <c r="E833" s="60"/>
      <c r="F833" s="60"/>
      <c r="K833" s="61"/>
      <c r="R833" s="61"/>
    </row>
    <row r="834" ht="15.75" customHeight="1">
      <c r="B834" s="5"/>
      <c r="E834" s="60"/>
      <c r="F834" s="60"/>
      <c r="K834" s="61"/>
      <c r="R834" s="61"/>
    </row>
    <row r="835" ht="15.75" customHeight="1">
      <c r="B835" s="5"/>
      <c r="E835" s="60"/>
      <c r="F835" s="60"/>
      <c r="K835" s="61"/>
      <c r="R835" s="61"/>
    </row>
    <row r="836" ht="15.75" customHeight="1">
      <c r="B836" s="5"/>
      <c r="E836" s="60"/>
      <c r="F836" s="60"/>
      <c r="K836" s="61"/>
      <c r="R836" s="61"/>
    </row>
    <row r="837" ht="15.75" customHeight="1">
      <c r="B837" s="5"/>
      <c r="E837" s="60"/>
      <c r="F837" s="60"/>
      <c r="K837" s="61"/>
      <c r="R837" s="61"/>
    </row>
    <row r="838" ht="15.75" customHeight="1">
      <c r="B838" s="5"/>
      <c r="E838" s="60"/>
      <c r="F838" s="60"/>
      <c r="K838" s="61"/>
      <c r="R838" s="61"/>
    </row>
    <row r="839" ht="15.75" customHeight="1">
      <c r="B839" s="5"/>
      <c r="E839" s="60"/>
      <c r="F839" s="60"/>
      <c r="K839" s="61"/>
      <c r="R839" s="61"/>
    </row>
    <row r="840" ht="15.75" customHeight="1">
      <c r="B840" s="5"/>
      <c r="E840" s="60"/>
      <c r="F840" s="60"/>
      <c r="K840" s="61"/>
      <c r="R840" s="61"/>
    </row>
    <row r="841" ht="15.75" customHeight="1">
      <c r="B841" s="5"/>
      <c r="E841" s="60"/>
      <c r="F841" s="60"/>
      <c r="K841" s="61"/>
      <c r="R841" s="61"/>
    </row>
    <row r="842" ht="15.75" customHeight="1">
      <c r="B842" s="5"/>
      <c r="E842" s="60"/>
      <c r="F842" s="60"/>
      <c r="K842" s="61"/>
      <c r="R842" s="61"/>
    </row>
    <row r="843" ht="15.75" customHeight="1">
      <c r="B843" s="5"/>
      <c r="E843" s="60"/>
      <c r="F843" s="60"/>
      <c r="K843" s="61"/>
      <c r="R843" s="61"/>
    </row>
    <row r="844" ht="15.75" customHeight="1">
      <c r="B844" s="5"/>
      <c r="E844" s="60"/>
      <c r="F844" s="60"/>
      <c r="K844" s="61"/>
      <c r="R844" s="61"/>
    </row>
    <row r="845" ht="15.75" customHeight="1">
      <c r="B845" s="5"/>
      <c r="E845" s="60"/>
      <c r="F845" s="60"/>
      <c r="K845" s="61"/>
      <c r="R845" s="61"/>
    </row>
    <row r="846" ht="15.75" customHeight="1">
      <c r="B846" s="5"/>
      <c r="E846" s="60"/>
      <c r="F846" s="60"/>
      <c r="K846" s="61"/>
      <c r="R846" s="61"/>
    </row>
    <row r="847" ht="15.75" customHeight="1">
      <c r="B847" s="5"/>
      <c r="E847" s="60"/>
      <c r="F847" s="60"/>
      <c r="K847" s="61"/>
      <c r="R847" s="61"/>
    </row>
    <row r="848" ht="15.75" customHeight="1">
      <c r="B848" s="5"/>
      <c r="E848" s="60"/>
      <c r="F848" s="60"/>
      <c r="K848" s="61"/>
      <c r="R848" s="61"/>
    </row>
    <row r="849" ht="15.75" customHeight="1">
      <c r="B849" s="5"/>
      <c r="E849" s="60"/>
      <c r="F849" s="60"/>
      <c r="K849" s="61"/>
      <c r="R849" s="61"/>
    </row>
    <row r="850" ht="15.75" customHeight="1">
      <c r="B850" s="5"/>
      <c r="E850" s="60"/>
      <c r="F850" s="60"/>
      <c r="K850" s="61"/>
      <c r="R850" s="61"/>
    </row>
    <row r="851" ht="15.75" customHeight="1">
      <c r="B851" s="5"/>
      <c r="E851" s="60"/>
      <c r="F851" s="60"/>
      <c r="K851" s="61"/>
      <c r="R851" s="61"/>
    </row>
    <row r="852" ht="15.75" customHeight="1">
      <c r="B852" s="5"/>
      <c r="E852" s="60"/>
      <c r="F852" s="60"/>
      <c r="K852" s="61"/>
      <c r="R852" s="61"/>
    </row>
    <row r="853" ht="15.75" customHeight="1">
      <c r="B853" s="5"/>
      <c r="E853" s="60"/>
      <c r="F853" s="60"/>
      <c r="K853" s="61"/>
      <c r="R853" s="61"/>
    </row>
    <row r="854" ht="15.75" customHeight="1">
      <c r="B854" s="5"/>
      <c r="E854" s="60"/>
      <c r="F854" s="60"/>
      <c r="K854" s="61"/>
      <c r="R854" s="61"/>
    </row>
    <row r="855" ht="15.75" customHeight="1">
      <c r="B855" s="5"/>
      <c r="E855" s="60"/>
      <c r="F855" s="60"/>
      <c r="K855" s="61"/>
      <c r="R855" s="61"/>
    </row>
    <row r="856" ht="15.75" customHeight="1">
      <c r="B856" s="5"/>
      <c r="E856" s="60"/>
      <c r="F856" s="60"/>
      <c r="K856" s="61"/>
      <c r="R856" s="61"/>
    </row>
    <row r="857" ht="15.75" customHeight="1">
      <c r="B857" s="5"/>
      <c r="E857" s="60"/>
      <c r="F857" s="60"/>
      <c r="K857" s="61"/>
      <c r="R857" s="61"/>
    </row>
    <row r="858" ht="15.75" customHeight="1">
      <c r="B858" s="5"/>
      <c r="E858" s="60"/>
      <c r="F858" s="60"/>
      <c r="K858" s="61"/>
      <c r="R858" s="61"/>
    </row>
    <row r="859" ht="15.75" customHeight="1">
      <c r="B859" s="5"/>
      <c r="E859" s="60"/>
      <c r="F859" s="60"/>
      <c r="K859" s="61"/>
      <c r="R859" s="61"/>
    </row>
    <row r="860" ht="15.75" customHeight="1">
      <c r="B860" s="5"/>
      <c r="E860" s="60"/>
      <c r="F860" s="60"/>
      <c r="K860" s="61"/>
      <c r="R860" s="61"/>
    </row>
    <row r="861" ht="15.75" customHeight="1">
      <c r="B861" s="5"/>
      <c r="E861" s="60"/>
      <c r="F861" s="60"/>
      <c r="K861" s="61"/>
      <c r="R861" s="61"/>
    </row>
    <row r="862" ht="15.75" customHeight="1">
      <c r="B862" s="5"/>
      <c r="E862" s="60"/>
      <c r="F862" s="60"/>
      <c r="K862" s="61"/>
      <c r="R862" s="61"/>
    </row>
    <row r="863" ht="15.75" customHeight="1">
      <c r="B863" s="5"/>
      <c r="E863" s="60"/>
      <c r="F863" s="60"/>
      <c r="K863" s="61"/>
      <c r="R863" s="61"/>
    </row>
    <row r="864" ht="15.75" customHeight="1">
      <c r="B864" s="5"/>
      <c r="E864" s="60"/>
      <c r="F864" s="60"/>
      <c r="K864" s="61"/>
      <c r="R864" s="61"/>
    </row>
    <row r="865" ht="15.75" customHeight="1">
      <c r="B865" s="5"/>
      <c r="E865" s="60"/>
      <c r="F865" s="60"/>
      <c r="K865" s="61"/>
      <c r="R865" s="61"/>
    </row>
    <row r="866" ht="15.75" customHeight="1">
      <c r="B866" s="5"/>
      <c r="E866" s="60"/>
      <c r="F866" s="60"/>
      <c r="K866" s="61"/>
      <c r="R866" s="61"/>
    </row>
    <row r="867" ht="15.75" customHeight="1">
      <c r="B867" s="5"/>
      <c r="E867" s="60"/>
      <c r="F867" s="60"/>
      <c r="K867" s="61"/>
      <c r="R867" s="61"/>
    </row>
    <row r="868" ht="15.75" customHeight="1">
      <c r="B868" s="5"/>
      <c r="E868" s="60"/>
      <c r="F868" s="60"/>
      <c r="K868" s="61"/>
      <c r="R868" s="61"/>
    </row>
    <row r="869" ht="15.75" customHeight="1">
      <c r="B869" s="5"/>
      <c r="E869" s="60"/>
      <c r="F869" s="60"/>
      <c r="K869" s="61"/>
      <c r="R869" s="61"/>
    </row>
    <row r="870" ht="15.75" customHeight="1">
      <c r="B870" s="5"/>
      <c r="E870" s="60"/>
      <c r="F870" s="60"/>
      <c r="K870" s="61"/>
      <c r="R870" s="61"/>
    </row>
    <row r="871" ht="15.75" customHeight="1">
      <c r="B871" s="5"/>
      <c r="E871" s="60"/>
      <c r="F871" s="60"/>
      <c r="K871" s="61"/>
      <c r="R871" s="61"/>
    </row>
    <row r="872" ht="15.75" customHeight="1">
      <c r="B872" s="5"/>
      <c r="E872" s="60"/>
      <c r="F872" s="60"/>
      <c r="K872" s="61"/>
      <c r="R872" s="61"/>
    </row>
    <row r="873" ht="15.75" customHeight="1">
      <c r="B873" s="5"/>
      <c r="E873" s="60"/>
      <c r="F873" s="60"/>
      <c r="K873" s="61"/>
      <c r="R873" s="61"/>
    </row>
    <row r="874" ht="15.75" customHeight="1">
      <c r="B874" s="5"/>
      <c r="E874" s="60"/>
      <c r="F874" s="60"/>
      <c r="K874" s="61"/>
      <c r="R874" s="61"/>
    </row>
    <row r="875" ht="15.75" customHeight="1">
      <c r="B875" s="5"/>
      <c r="E875" s="60"/>
      <c r="F875" s="60"/>
      <c r="K875" s="61"/>
      <c r="R875" s="61"/>
    </row>
    <row r="876" ht="15.75" customHeight="1">
      <c r="B876" s="5"/>
      <c r="E876" s="60"/>
      <c r="F876" s="60"/>
      <c r="K876" s="61"/>
      <c r="R876" s="61"/>
    </row>
    <row r="877" ht="15.75" customHeight="1">
      <c r="B877" s="5"/>
      <c r="E877" s="60"/>
      <c r="F877" s="60"/>
      <c r="K877" s="61"/>
      <c r="R877" s="61"/>
    </row>
    <row r="878" ht="15.75" customHeight="1">
      <c r="B878" s="5"/>
      <c r="E878" s="60"/>
      <c r="F878" s="60"/>
      <c r="K878" s="61"/>
      <c r="R878" s="61"/>
    </row>
    <row r="879" ht="15.75" customHeight="1">
      <c r="B879" s="5"/>
      <c r="E879" s="60"/>
      <c r="F879" s="60"/>
      <c r="K879" s="61"/>
      <c r="R879" s="61"/>
    </row>
    <row r="880" ht="15.75" customHeight="1">
      <c r="B880" s="5"/>
      <c r="E880" s="60"/>
      <c r="F880" s="60"/>
      <c r="K880" s="61"/>
      <c r="R880" s="61"/>
    </row>
    <row r="881" ht="15.75" customHeight="1">
      <c r="B881" s="5"/>
      <c r="E881" s="60"/>
      <c r="F881" s="60"/>
      <c r="K881" s="61"/>
      <c r="R881" s="61"/>
    </row>
    <row r="882" ht="15.75" customHeight="1">
      <c r="B882" s="5"/>
      <c r="E882" s="60"/>
      <c r="F882" s="60"/>
      <c r="K882" s="61"/>
      <c r="R882" s="61"/>
    </row>
    <row r="883" ht="15.75" customHeight="1">
      <c r="B883" s="5"/>
      <c r="E883" s="60"/>
      <c r="F883" s="60"/>
      <c r="K883" s="61"/>
      <c r="R883" s="61"/>
    </row>
    <row r="884" ht="15.75" customHeight="1">
      <c r="B884" s="5"/>
      <c r="E884" s="60"/>
      <c r="F884" s="60"/>
      <c r="K884" s="61"/>
      <c r="R884" s="61"/>
    </row>
    <row r="885" ht="15.75" customHeight="1">
      <c r="B885" s="5"/>
      <c r="E885" s="60"/>
      <c r="F885" s="60"/>
      <c r="K885" s="61"/>
      <c r="R885" s="61"/>
    </row>
    <row r="886" ht="15.75" customHeight="1">
      <c r="B886" s="5"/>
      <c r="E886" s="60"/>
      <c r="F886" s="60"/>
      <c r="K886" s="61"/>
      <c r="R886" s="61"/>
    </row>
    <row r="887" ht="15.75" customHeight="1">
      <c r="B887" s="5"/>
      <c r="E887" s="60"/>
      <c r="F887" s="60"/>
      <c r="K887" s="61"/>
      <c r="R887" s="61"/>
    </row>
    <row r="888" ht="15.75" customHeight="1">
      <c r="B888" s="5"/>
      <c r="E888" s="60"/>
      <c r="F888" s="60"/>
      <c r="K888" s="61"/>
      <c r="R888" s="61"/>
    </row>
    <row r="889" ht="15.75" customHeight="1">
      <c r="B889" s="5"/>
      <c r="E889" s="60"/>
      <c r="F889" s="60"/>
      <c r="K889" s="61"/>
      <c r="R889" s="61"/>
    </row>
    <row r="890" ht="15.75" customHeight="1">
      <c r="B890" s="5"/>
      <c r="E890" s="60"/>
      <c r="F890" s="60"/>
      <c r="K890" s="61"/>
      <c r="R890" s="61"/>
    </row>
    <row r="891" ht="15.75" customHeight="1">
      <c r="B891" s="5"/>
      <c r="E891" s="60"/>
      <c r="F891" s="60"/>
      <c r="K891" s="61"/>
      <c r="R891" s="61"/>
    </row>
    <row r="892" ht="15.75" customHeight="1">
      <c r="B892" s="5"/>
      <c r="E892" s="60"/>
      <c r="F892" s="60"/>
      <c r="K892" s="61"/>
      <c r="R892" s="61"/>
    </row>
    <row r="893" ht="15.75" customHeight="1">
      <c r="B893" s="5"/>
      <c r="E893" s="60"/>
      <c r="F893" s="60"/>
      <c r="K893" s="61"/>
      <c r="R893" s="61"/>
    </row>
    <row r="894" ht="15.75" customHeight="1">
      <c r="B894" s="5"/>
      <c r="E894" s="60"/>
      <c r="F894" s="60"/>
      <c r="K894" s="61"/>
      <c r="R894" s="61"/>
    </row>
    <row r="895" ht="15.75" customHeight="1">
      <c r="B895" s="5"/>
      <c r="E895" s="60"/>
      <c r="F895" s="60"/>
      <c r="K895" s="61"/>
      <c r="R895" s="61"/>
    </row>
    <row r="896" ht="15.75" customHeight="1">
      <c r="B896" s="5"/>
      <c r="E896" s="60"/>
      <c r="F896" s="60"/>
      <c r="K896" s="61"/>
      <c r="R896" s="61"/>
    </row>
    <row r="897" ht="15.75" customHeight="1">
      <c r="B897" s="5"/>
      <c r="E897" s="60"/>
      <c r="F897" s="60"/>
      <c r="K897" s="61"/>
      <c r="R897" s="61"/>
    </row>
    <row r="898" ht="15.75" customHeight="1">
      <c r="B898" s="5"/>
      <c r="E898" s="60"/>
      <c r="F898" s="60"/>
      <c r="K898" s="61"/>
      <c r="R898" s="61"/>
    </row>
    <row r="899" ht="15.75" customHeight="1">
      <c r="B899" s="5"/>
      <c r="E899" s="60"/>
      <c r="F899" s="60"/>
      <c r="K899" s="61"/>
      <c r="R899" s="61"/>
    </row>
    <row r="900" ht="15.75" customHeight="1">
      <c r="B900" s="5"/>
      <c r="E900" s="60"/>
      <c r="F900" s="60"/>
      <c r="K900" s="61"/>
      <c r="R900" s="61"/>
    </row>
    <row r="901" ht="15.75" customHeight="1">
      <c r="B901" s="5"/>
      <c r="E901" s="60"/>
      <c r="F901" s="60"/>
      <c r="K901" s="61"/>
      <c r="R901" s="61"/>
    </row>
    <row r="902" ht="15.75" customHeight="1">
      <c r="B902" s="5"/>
      <c r="E902" s="60"/>
      <c r="F902" s="60"/>
      <c r="K902" s="61"/>
      <c r="R902" s="61"/>
    </row>
    <row r="903" ht="15.75" customHeight="1">
      <c r="B903" s="5"/>
      <c r="E903" s="60"/>
      <c r="F903" s="60"/>
      <c r="K903" s="61"/>
      <c r="R903" s="61"/>
    </row>
    <row r="904" ht="15.75" customHeight="1">
      <c r="B904" s="5"/>
      <c r="E904" s="60"/>
      <c r="F904" s="60"/>
      <c r="K904" s="61"/>
      <c r="R904" s="61"/>
    </row>
    <row r="905" ht="15.75" customHeight="1">
      <c r="B905" s="5"/>
      <c r="E905" s="60"/>
      <c r="F905" s="60"/>
      <c r="K905" s="61"/>
      <c r="R905" s="61"/>
    </row>
    <row r="906" ht="15.75" customHeight="1">
      <c r="B906" s="5"/>
      <c r="E906" s="60"/>
      <c r="F906" s="60"/>
      <c r="K906" s="61"/>
      <c r="R906" s="61"/>
    </row>
    <row r="907" ht="15.75" customHeight="1">
      <c r="B907" s="5"/>
      <c r="E907" s="60"/>
      <c r="F907" s="60"/>
      <c r="K907" s="61"/>
      <c r="R907" s="61"/>
    </row>
    <row r="908" ht="15.75" customHeight="1">
      <c r="B908" s="5"/>
      <c r="E908" s="60"/>
      <c r="F908" s="60"/>
      <c r="K908" s="61"/>
      <c r="R908" s="61"/>
    </row>
    <row r="909" ht="15.75" customHeight="1">
      <c r="B909" s="5"/>
      <c r="E909" s="60"/>
      <c r="F909" s="60"/>
      <c r="K909" s="61"/>
      <c r="R909" s="61"/>
    </row>
    <row r="910" ht="15.75" customHeight="1">
      <c r="B910" s="5"/>
      <c r="E910" s="60"/>
      <c r="F910" s="60"/>
      <c r="K910" s="61"/>
      <c r="R910" s="61"/>
    </row>
    <row r="911" ht="15.75" customHeight="1">
      <c r="B911" s="5"/>
      <c r="E911" s="60"/>
      <c r="F911" s="60"/>
      <c r="K911" s="61"/>
      <c r="R911" s="61"/>
    </row>
    <row r="912" ht="15.75" customHeight="1">
      <c r="B912" s="5"/>
      <c r="E912" s="60"/>
      <c r="F912" s="60"/>
      <c r="K912" s="61"/>
      <c r="R912" s="61"/>
    </row>
    <row r="913" ht="15.75" customHeight="1">
      <c r="B913" s="5"/>
      <c r="E913" s="60"/>
      <c r="F913" s="60"/>
      <c r="K913" s="61"/>
      <c r="R913" s="61"/>
    </row>
    <row r="914" ht="15.75" customHeight="1">
      <c r="B914" s="5"/>
      <c r="E914" s="60"/>
      <c r="F914" s="60"/>
      <c r="K914" s="61"/>
      <c r="R914" s="61"/>
    </row>
    <row r="915" ht="15.75" customHeight="1">
      <c r="B915" s="5"/>
      <c r="E915" s="60"/>
      <c r="F915" s="60"/>
      <c r="K915" s="61"/>
      <c r="R915" s="61"/>
    </row>
    <row r="916" ht="15.75" customHeight="1">
      <c r="B916" s="5"/>
      <c r="E916" s="60"/>
      <c r="F916" s="60"/>
      <c r="K916" s="61"/>
      <c r="R916" s="61"/>
    </row>
    <row r="917" ht="15.75" customHeight="1">
      <c r="B917" s="5"/>
      <c r="E917" s="60"/>
      <c r="F917" s="60"/>
      <c r="K917" s="61"/>
      <c r="R917" s="61"/>
    </row>
    <row r="918" ht="15.75" customHeight="1">
      <c r="B918" s="5"/>
      <c r="E918" s="60"/>
      <c r="F918" s="60"/>
      <c r="K918" s="61"/>
      <c r="R918" s="61"/>
    </row>
    <row r="919" ht="15.75" customHeight="1">
      <c r="B919" s="5"/>
      <c r="E919" s="60"/>
      <c r="F919" s="60"/>
      <c r="K919" s="61"/>
      <c r="R919" s="61"/>
    </row>
    <row r="920" ht="15.75" customHeight="1">
      <c r="B920" s="5"/>
      <c r="E920" s="60"/>
      <c r="F920" s="60"/>
      <c r="K920" s="61"/>
      <c r="R920" s="61"/>
    </row>
    <row r="921" ht="15.75" customHeight="1">
      <c r="B921" s="5"/>
      <c r="E921" s="60"/>
      <c r="F921" s="60"/>
      <c r="K921" s="61"/>
      <c r="R921" s="61"/>
    </row>
    <row r="922" ht="15.75" customHeight="1">
      <c r="B922" s="5"/>
      <c r="E922" s="60"/>
      <c r="F922" s="60"/>
      <c r="K922" s="61"/>
      <c r="R922" s="61"/>
    </row>
    <row r="923" ht="15.75" customHeight="1">
      <c r="B923" s="5"/>
      <c r="E923" s="60"/>
      <c r="F923" s="60"/>
      <c r="K923" s="61"/>
      <c r="R923" s="61"/>
    </row>
    <row r="924" ht="15.75" customHeight="1">
      <c r="B924" s="5"/>
      <c r="E924" s="60"/>
      <c r="F924" s="60"/>
      <c r="K924" s="61"/>
      <c r="R924" s="61"/>
    </row>
    <row r="925" ht="15.75" customHeight="1">
      <c r="B925" s="5"/>
      <c r="E925" s="60"/>
      <c r="F925" s="60"/>
      <c r="K925" s="61"/>
      <c r="R925" s="61"/>
    </row>
    <row r="926" ht="15.75" customHeight="1">
      <c r="B926" s="5"/>
      <c r="E926" s="60"/>
      <c r="F926" s="60"/>
      <c r="K926" s="61"/>
      <c r="R926" s="61"/>
    </row>
    <row r="927" ht="15.75" customHeight="1">
      <c r="B927" s="5"/>
      <c r="E927" s="60"/>
      <c r="F927" s="60"/>
      <c r="K927" s="61"/>
      <c r="R927" s="61"/>
    </row>
    <row r="928" ht="15.75" customHeight="1">
      <c r="B928" s="5"/>
      <c r="E928" s="60"/>
      <c r="F928" s="60"/>
      <c r="K928" s="61"/>
      <c r="R928" s="61"/>
    </row>
    <row r="929" ht="15.75" customHeight="1">
      <c r="B929" s="5"/>
      <c r="E929" s="60"/>
      <c r="F929" s="60"/>
      <c r="K929" s="61"/>
      <c r="R929" s="61"/>
    </row>
    <row r="930" ht="15.75" customHeight="1">
      <c r="B930" s="5"/>
      <c r="E930" s="60"/>
      <c r="F930" s="60"/>
      <c r="K930" s="61"/>
      <c r="R930" s="61"/>
    </row>
    <row r="931" ht="15.75" customHeight="1">
      <c r="B931" s="5"/>
      <c r="E931" s="60"/>
      <c r="F931" s="60"/>
      <c r="K931" s="61"/>
      <c r="R931" s="61"/>
    </row>
    <row r="932" ht="15.75" customHeight="1">
      <c r="B932" s="5"/>
      <c r="E932" s="60"/>
      <c r="F932" s="60"/>
      <c r="K932" s="61"/>
      <c r="R932" s="61"/>
    </row>
    <row r="933" ht="15.75" customHeight="1">
      <c r="B933" s="5"/>
      <c r="E933" s="60"/>
      <c r="F933" s="60"/>
      <c r="K933" s="61"/>
      <c r="R933" s="61"/>
    </row>
    <row r="934" ht="15.75" customHeight="1">
      <c r="B934" s="5"/>
      <c r="E934" s="60"/>
      <c r="F934" s="60"/>
      <c r="K934" s="61"/>
      <c r="R934" s="61"/>
    </row>
    <row r="935" ht="15.75" customHeight="1">
      <c r="B935" s="5"/>
      <c r="E935" s="60"/>
      <c r="F935" s="60"/>
      <c r="K935" s="61"/>
      <c r="R935" s="61"/>
    </row>
    <row r="936" ht="15.75" customHeight="1">
      <c r="B936" s="5"/>
      <c r="E936" s="60"/>
      <c r="F936" s="60"/>
      <c r="K936" s="61"/>
      <c r="R936" s="61"/>
    </row>
    <row r="937" ht="15.75" customHeight="1">
      <c r="B937" s="5"/>
      <c r="E937" s="60"/>
      <c r="F937" s="60"/>
      <c r="K937" s="61"/>
      <c r="R937" s="61"/>
    </row>
    <row r="938" ht="15.75" customHeight="1">
      <c r="B938" s="5"/>
      <c r="E938" s="60"/>
      <c r="F938" s="60"/>
      <c r="K938" s="61"/>
      <c r="R938" s="61"/>
    </row>
    <row r="939" ht="15.75" customHeight="1">
      <c r="B939" s="5"/>
      <c r="E939" s="60"/>
      <c r="F939" s="60"/>
      <c r="K939" s="61"/>
      <c r="R939" s="61"/>
    </row>
    <row r="940" ht="15.75" customHeight="1">
      <c r="B940" s="5"/>
      <c r="E940" s="60"/>
      <c r="F940" s="60"/>
      <c r="K940" s="61"/>
      <c r="R940" s="61"/>
    </row>
    <row r="941" ht="15.75" customHeight="1">
      <c r="B941" s="5"/>
      <c r="E941" s="60"/>
      <c r="F941" s="60"/>
      <c r="K941" s="61"/>
      <c r="R941" s="61"/>
    </row>
    <row r="942" ht="15.75" customHeight="1">
      <c r="B942" s="5"/>
      <c r="E942" s="60"/>
      <c r="F942" s="60"/>
      <c r="K942" s="61"/>
      <c r="R942" s="61"/>
    </row>
    <row r="943" ht="15.75" customHeight="1">
      <c r="B943" s="5"/>
      <c r="E943" s="60"/>
      <c r="F943" s="60"/>
      <c r="K943" s="61"/>
      <c r="R943" s="61"/>
    </row>
    <row r="944" ht="15.75" customHeight="1">
      <c r="B944" s="5"/>
      <c r="E944" s="60"/>
      <c r="F944" s="60"/>
      <c r="K944" s="61"/>
      <c r="R944" s="61"/>
    </row>
    <row r="945" ht="15.75" customHeight="1">
      <c r="B945" s="5"/>
      <c r="E945" s="60"/>
      <c r="F945" s="60"/>
      <c r="K945" s="61"/>
      <c r="R945" s="61"/>
    </row>
    <row r="946" ht="15.75" customHeight="1">
      <c r="B946" s="5"/>
      <c r="E946" s="60"/>
      <c r="F946" s="60"/>
      <c r="K946" s="61"/>
      <c r="R946" s="61"/>
    </row>
    <row r="947" ht="15.75" customHeight="1">
      <c r="B947" s="5"/>
      <c r="E947" s="60"/>
      <c r="F947" s="60"/>
      <c r="K947" s="61"/>
      <c r="R947" s="61"/>
    </row>
    <row r="948" ht="15.75" customHeight="1">
      <c r="B948" s="5"/>
      <c r="E948" s="60"/>
      <c r="F948" s="60"/>
      <c r="K948" s="61"/>
      <c r="R948" s="61"/>
    </row>
    <row r="949" ht="15.75" customHeight="1">
      <c r="B949" s="5"/>
      <c r="E949" s="60"/>
      <c r="F949" s="60"/>
      <c r="K949" s="61"/>
      <c r="R949" s="61"/>
    </row>
    <row r="950" ht="15.75" customHeight="1">
      <c r="B950" s="5"/>
      <c r="E950" s="60"/>
      <c r="F950" s="60"/>
      <c r="K950" s="61"/>
      <c r="R950" s="61"/>
    </row>
    <row r="951" ht="15.75" customHeight="1">
      <c r="B951" s="5"/>
      <c r="E951" s="60"/>
      <c r="F951" s="60"/>
      <c r="K951" s="61"/>
      <c r="R951" s="61"/>
    </row>
    <row r="952" ht="15.75" customHeight="1">
      <c r="B952" s="5"/>
      <c r="E952" s="60"/>
      <c r="F952" s="60"/>
      <c r="K952" s="61"/>
      <c r="R952" s="61"/>
    </row>
    <row r="953" ht="15.75" customHeight="1">
      <c r="B953" s="5"/>
      <c r="E953" s="60"/>
      <c r="F953" s="60"/>
      <c r="K953" s="61"/>
      <c r="R953" s="61"/>
    </row>
    <row r="954" ht="15.75" customHeight="1">
      <c r="B954" s="5"/>
      <c r="E954" s="60"/>
      <c r="F954" s="60"/>
      <c r="K954" s="61"/>
      <c r="R954" s="61"/>
    </row>
    <row r="955" ht="15.75" customHeight="1">
      <c r="B955" s="5"/>
      <c r="E955" s="60"/>
      <c r="F955" s="60"/>
      <c r="K955" s="61"/>
      <c r="R955" s="61"/>
    </row>
    <row r="956" ht="15.75" customHeight="1">
      <c r="B956" s="5"/>
      <c r="E956" s="60"/>
      <c r="F956" s="60"/>
      <c r="K956" s="61"/>
      <c r="R956" s="61"/>
    </row>
    <row r="957" ht="15.75" customHeight="1">
      <c r="B957" s="5"/>
      <c r="E957" s="60"/>
      <c r="F957" s="60"/>
      <c r="K957" s="61"/>
      <c r="R957" s="61"/>
    </row>
    <row r="958" ht="15.75" customHeight="1">
      <c r="B958" s="5"/>
      <c r="E958" s="60"/>
      <c r="F958" s="60"/>
      <c r="K958" s="61"/>
      <c r="R958" s="61"/>
    </row>
    <row r="959" ht="15.75" customHeight="1">
      <c r="B959" s="5"/>
      <c r="E959" s="60"/>
      <c r="F959" s="60"/>
      <c r="K959" s="61"/>
      <c r="R959" s="61"/>
    </row>
    <row r="960" ht="15.75" customHeight="1">
      <c r="B960" s="5"/>
      <c r="E960" s="60"/>
      <c r="F960" s="60"/>
      <c r="K960" s="61"/>
      <c r="R960" s="61"/>
    </row>
    <row r="961" ht="15.75" customHeight="1">
      <c r="B961" s="5"/>
      <c r="E961" s="60"/>
      <c r="F961" s="60"/>
      <c r="K961" s="61"/>
      <c r="R961" s="61"/>
    </row>
    <row r="962" ht="15.75" customHeight="1">
      <c r="B962" s="5"/>
      <c r="E962" s="60"/>
      <c r="F962" s="60"/>
      <c r="K962" s="61"/>
      <c r="R962" s="61"/>
    </row>
    <row r="963" ht="15.75" customHeight="1">
      <c r="B963" s="5"/>
      <c r="E963" s="60"/>
      <c r="F963" s="60"/>
      <c r="K963" s="61"/>
      <c r="R963" s="61"/>
    </row>
    <row r="964" ht="15.75" customHeight="1">
      <c r="B964" s="5"/>
      <c r="E964" s="60"/>
      <c r="F964" s="60"/>
      <c r="K964" s="61"/>
      <c r="R964" s="61"/>
    </row>
    <row r="965" ht="15.75" customHeight="1">
      <c r="B965" s="5"/>
      <c r="E965" s="60"/>
      <c r="F965" s="60"/>
      <c r="K965" s="61"/>
      <c r="R965" s="61"/>
    </row>
    <row r="966" ht="15.75" customHeight="1">
      <c r="B966" s="5"/>
      <c r="E966" s="60"/>
      <c r="F966" s="60"/>
      <c r="K966" s="61"/>
      <c r="R966" s="61"/>
    </row>
    <row r="967" ht="15.75" customHeight="1">
      <c r="B967" s="5"/>
      <c r="E967" s="60"/>
      <c r="F967" s="60"/>
      <c r="K967" s="61"/>
      <c r="R967" s="61"/>
    </row>
    <row r="968" ht="15.75" customHeight="1">
      <c r="B968" s="5"/>
      <c r="E968" s="60"/>
      <c r="F968" s="60"/>
      <c r="K968" s="61"/>
      <c r="R968" s="61"/>
    </row>
    <row r="969" ht="15.75" customHeight="1">
      <c r="B969" s="5"/>
      <c r="E969" s="60"/>
      <c r="F969" s="60"/>
      <c r="K969" s="61"/>
      <c r="R969" s="61"/>
    </row>
    <row r="970" ht="15.75" customHeight="1">
      <c r="B970" s="5"/>
      <c r="E970" s="60"/>
      <c r="F970" s="60"/>
      <c r="K970" s="61"/>
      <c r="R970" s="61"/>
    </row>
    <row r="971" ht="15.75" customHeight="1">
      <c r="B971" s="5"/>
      <c r="E971" s="60"/>
      <c r="F971" s="60"/>
      <c r="K971" s="61"/>
      <c r="R971" s="61"/>
    </row>
    <row r="972" ht="15.75" customHeight="1">
      <c r="B972" s="5"/>
      <c r="E972" s="60"/>
      <c r="F972" s="60"/>
      <c r="K972" s="61"/>
      <c r="R972" s="61"/>
    </row>
    <row r="973" ht="15.75" customHeight="1">
      <c r="B973" s="5"/>
      <c r="E973" s="60"/>
      <c r="F973" s="60"/>
      <c r="K973" s="61"/>
      <c r="R973" s="61"/>
    </row>
    <row r="974" ht="15.75" customHeight="1">
      <c r="B974" s="5"/>
      <c r="E974" s="60"/>
      <c r="F974" s="60"/>
      <c r="K974" s="61"/>
      <c r="R974" s="61"/>
    </row>
    <row r="975" ht="15.75" customHeight="1">
      <c r="B975" s="5"/>
      <c r="E975" s="60"/>
      <c r="F975" s="60"/>
      <c r="K975" s="61"/>
      <c r="R975" s="61"/>
    </row>
    <row r="976" ht="15.75" customHeight="1">
      <c r="B976" s="5"/>
      <c r="E976" s="60"/>
      <c r="F976" s="60"/>
      <c r="K976" s="61"/>
      <c r="R976" s="61"/>
    </row>
    <row r="977" ht="15.75" customHeight="1">
      <c r="B977" s="5"/>
      <c r="E977" s="60"/>
      <c r="F977" s="60"/>
      <c r="K977" s="61"/>
      <c r="R977" s="61"/>
    </row>
    <row r="978" ht="15.75" customHeight="1">
      <c r="B978" s="5"/>
      <c r="E978" s="60"/>
      <c r="F978" s="60"/>
      <c r="K978" s="61"/>
      <c r="R978" s="61"/>
    </row>
    <row r="979" ht="15.75" customHeight="1">
      <c r="B979" s="5"/>
      <c r="E979" s="60"/>
      <c r="F979" s="60"/>
      <c r="K979" s="61"/>
      <c r="R979" s="61"/>
    </row>
    <row r="980" ht="15.75" customHeight="1">
      <c r="B980" s="5"/>
      <c r="E980" s="60"/>
      <c r="F980" s="60"/>
      <c r="K980" s="61"/>
      <c r="R980" s="61"/>
    </row>
    <row r="981" ht="15.75" customHeight="1">
      <c r="B981" s="5"/>
      <c r="E981" s="60"/>
      <c r="F981" s="60"/>
      <c r="K981" s="61"/>
      <c r="R981" s="61"/>
    </row>
    <row r="982" ht="15.75" customHeight="1">
      <c r="B982" s="5"/>
      <c r="E982" s="60"/>
      <c r="F982" s="60"/>
      <c r="K982" s="61"/>
      <c r="R982" s="61"/>
    </row>
    <row r="983" ht="15.75" customHeight="1">
      <c r="B983" s="5"/>
      <c r="E983" s="60"/>
      <c r="F983" s="60"/>
      <c r="K983" s="61"/>
      <c r="R983" s="61"/>
    </row>
    <row r="984" ht="15.75" customHeight="1">
      <c r="B984" s="5"/>
      <c r="E984" s="60"/>
      <c r="F984" s="60"/>
      <c r="K984" s="61"/>
      <c r="R984" s="61"/>
    </row>
    <row r="985" ht="15.75" customHeight="1">
      <c r="B985" s="5"/>
      <c r="E985" s="60"/>
      <c r="F985" s="60"/>
      <c r="K985" s="61"/>
      <c r="R985" s="61"/>
    </row>
    <row r="986" ht="15.75" customHeight="1">
      <c r="B986" s="5"/>
      <c r="E986" s="60"/>
      <c r="F986" s="60"/>
      <c r="K986" s="61"/>
      <c r="R986" s="61"/>
    </row>
    <row r="987" ht="15.75" customHeight="1">
      <c r="B987" s="5"/>
      <c r="E987" s="60"/>
      <c r="F987" s="60"/>
      <c r="K987" s="61"/>
      <c r="R987" s="61"/>
    </row>
    <row r="988" ht="15.75" customHeight="1">
      <c r="B988" s="5"/>
      <c r="E988" s="60"/>
      <c r="F988" s="60"/>
      <c r="K988" s="61"/>
      <c r="R988" s="61"/>
    </row>
    <row r="989" ht="15.75" customHeight="1">
      <c r="B989" s="5"/>
      <c r="E989" s="60"/>
      <c r="F989" s="60"/>
      <c r="K989" s="61"/>
      <c r="R989" s="61"/>
    </row>
    <row r="990" ht="15.75" customHeight="1">
      <c r="B990" s="5"/>
      <c r="E990" s="60"/>
      <c r="F990" s="60"/>
      <c r="K990" s="61"/>
      <c r="R990" s="61"/>
    </row>
    <row r="991" ht="15.75" customHeight="1">
      <c r="B991" s="5"/>
      <c r="E991" s="60"/>
      <c r="F991" s="60"/>
      <c r="K991" s="61"/>
      <c r="R991" s="61"/>
    </row>
    <row r="992" ht="15.75" customHeight="1">
      <c r="B992" s="5"/>
      <c r="E992" s="60"/>
      <c r="F992" s="60"/>
      <c r="K992" s="61"/>
      <c r="R992" s="61"/>
    </row>
    <row r="993" ht="15.75" customHeight="1">
      <c r="B993" s="5"/>
      <c r="E993" s="60"/>
      <c r="F993" s="60"/>
      <c r="K993" s="61"/>
      <c r="R993" s="61"/>
    </row>
    <row r="994" ht="15.75" customHeight="1">
      <c r="B994" s="5"/>
      <c r="E994" s="60"/>
      <c r="F994" s="60"/>
      <c r="K994" s="61"/>
      <c r="R994" s="61"/>
    </row>
    <row r="995" ht="15.75" customHeight="1">
      <c r="B995" s="5"/>
      <c r="E995" s="60"/>
      <c r="F995" s="60"/>
      <c r="K995" s="61"/>
      <c r="R995" s="61"/>
    </row>
    <row r="996" ht="15.75" customHeight="1">
      <c r="B996" s="5"/>
      <c r="E996" s="60"/>
      <c r="F996" s="60"/>
      <c r="K996" s="61"/>
      <c r="R996" s="61"/>
    </row>
    <row r="997" ht="15.75" customHeight="1">
      <c r="B997" s="5"/>
      <c r="E997" s="60"/>
      <c r="F997" s="60"/>
      <c r="K997" s="61"/>
      <c r="R997" s="61"/>
    </row>
    <row r="998" ht="15.75" customHeight="1">
      <c r="B998" s="5"/>
      <c r="E998" s="60"/>
      <c r="F998" s="60"/>
      <c r="K998" s="61"/>
      <c r="R998" s="61"/>
    </row>
    <row r="999" ht="15.75" customHeight="1">
      <c r="B999" s="5"/>
      <c r="E999" s="60"/>
      <c r="F999" s="60"/>
      <c r="K999" s="61"/>
      <c r="R999" s="61"/>
    </row>
    <row r="1000" ht="15.75" customHeight="1">
      <c r="B1000" s="5"/>
      <c r="E1000" s="60"/>
      <c r="F1000" s="60"/>
      <c r="K1000" s="61"/>
      <c r="R1000" s="61"/>
    </row>
  </sheetData>
  <mergeCells count="65">
    <mergeCell ref="B70:D70"/>
    <mergeCell ref="C72:D72"/>
    <mergeCell ref="E72:F72"/>
    <mergeCell ref="G72:H72"/>
    <mergeCell ref="I72:J72"/>
    <mergeCell ref="L72:M72"/>
    <mergeCell ref="P72:Q72"/>
    <mergeCell ref="B87:D87"/>
    <mergeCell ref="C88:D88"/>
    <mergeCell ref="E88:F88"/>
    <mergeCell ref="G88:H88"/>
    <mergeCell ref="I88:J88"/>
    <mergeCell ref="L88:M88"/>
    <mergeCell ref="P88:Q88"/>
    <mergeCell ref="B79:D79"/>
    <mergeCell ref="C80:D80"/>
    <mergeCell ref="E80:F80"/>
    <mergeCell ref="G80:H80"/>
    <mergeCell ref="I80:J80"/>
    <mergeCell ref="L80:M80"/>
    <mergeCell ref="P80:Q80"/>
    <mergeCell ref="L14:M14"/>
    <mergeCell ref="P14:Q14"/>
    <mergeCell ref="Q10:R10"/>
    <mergeCell ref="L11:M11"/>
    <mergeCell ref="B12:D12"/>
    <mergeCell ref="C14:D14"/>
    <mergeCell ref="E14:F14"/>
    <mergeCell ref="G14:H14"/>
    <mergeCell ref="I14:J14"/>
    <mergeCell ref="B22:D22"/>
    <mergeCell ref="C24:D24"/>
    <mergeCell ref="E24:F24"/>
    <mergeCell ref="G24:H24"/>
    <mergeCell ref="I24:J24"/>
    <mergeCell ref="L24:M24"/>
    <mergeCell ref="P24:Q24"/>
    <mergeCell ref="B33:D33"/>
    <mergeCell ref="C35:D35"/>
    <mergeCell ref="E35:F35"/>
    <mergeCell ref="G35:H35"/>
    <mergeCell ref="I35:J35"/>
    <mergeCell ref="L35:M35"/>
    <mergeCell ref="P35:Q35"/>
    <mergeCell ref="B42:D42"/>
    <mergeCell ref="C44:D44"/>
    <mergeCell ref="E44:F44"/>
    <mergeCell ref="G44:H44"/>
    <mergeCell ref="I44:J44"/>
    <mergeCell ref="L44:M44"/>
    <mergeCell ref="P44:Q44"/>
    <mergeCell ref="B51:D51"/>
    <mergeCell ref="C52:D52"/>
    <mergeCell ref="E52:F52"/>
    <mergeCell ref="G52:H52"/>
    <mergeCell ref="I52:J52"/>
    <mergeCell ref="L52:M52"/>
    <mergeCell ref="P52:Q52"/>
    <mergeCell ref="B59:D59"/>
    <mergeCell ref="C60:D60"/>
    <mergeCell ref="E60:F60"/>
    <mergeCell ref="G60:H60"/>
    <mergeCell ref="I60:J60"/>
    <mergeCell ref="L60:M60"/>
    <mergeCell ref="P60:Q6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8.14"/>
    <col customWidth="1" min="4" max="4" width="17.14"/>
    <col customWidth="1" min="5" max="5" width="13.29"/>
    <col customWidth="1" min="6" max="6" width="13.57"/>
    <col customWidth="1" min="7" max="7" width="17.14"/>
    <col customWidth="1" min="8" max="8" width="13.29"/>
    <col customWidth="1" min="9" max="9" width="14.0"/>
    <col customWidth="1" min="10" max="10" width="17.0"/>
    <col customWidth="1" min="11" max="11" width="13.29"/>
    <col customWidth="1" min="12" max="12" width="10.29"/>
    <col customWidth="1" min="13" max="13" width="12.14"/>
    <col customWidth="1" min="14" max="16" width="12.0"/>
    <col customWidth="1" min="17" max="25" width="8.71"/>
    <col customWidth="1" min="26" max="26" width="10.29"/>
    <col customWidth="1" min="27" max="27" width="13.43"/>
    <col customWidth="1" min="28" max="28" width="12.71"/>
    <col customWidth="1" min="29" max="30" width="13.29"/>
    <col customWidth="1" min="31" max="31" width="12.57"/>
    <col customWidth="1" min="32" max="33" width="13.29"/>
    <col customWidth="1" min="34" max="34" width="12.57"/>
    <col customWidth="1" min="35" max="35" width="13.86"/>
    <col customWidth="1" min="36" max="36" width="10.86"/>
    <col customWidth="1" min="37" max="37" width="10.0"/>
    <col customWidth="1" min="38" max="38" width="18.57"/>
    <col customWidth="1" min="39" max="40" width="10.29"/>
    <col customWidth="1" min="41" max="49" width="8.71"/>
    <col customWidth="1" min="50" max="50" width="11.29"/>
    <col customWidth="1" min="51" max="51" width="13.71"/>
    <col customWidth="1" min="52" max="52" width="12.71"/>
    <col customWidth="1" min="53" max="54" width="13.43"/>
    <col customWidth="1" min="55" max="55" width="12.71"/>
    <col customWidth="1" min="56" max="56" width="13.43"/>
    <col customWidth="1" min="57" max="57" width="14.14"/>
    <col customWidth="1" min="58" max="58" width="12.71"/>
    <col customWidth="1" min="59" max="59" width="13.71"/>
    <col customWidth="1" min="60" max="60" width="11.57"/>
    <col customWidth="1" min="61" max="61" width="12.14"/>
    <col customWidth="1" min="62" max="63" width="12.0"/>
    <col customWidth="1" min="64" max="73" width="8.71"/>
  </cols>
  <sheetData>
    <row r="1">
      <c r="B1" s="158" t="s">
        <v>196</v>
      </c>
      <c r="C1" s="159" t="s">
        <v>197</v>
      </c>
      <c r="D1" s="159" t="s">
        <v>198</v>
      </c>
      <c r="E1" s="160" t="s">
        <v>199</v>
      </c>
      <c r="F1" s="158" t="s">
        <v>196</v>
      </c>
      <c r="G1" s="159" t="s">
        <v>200</v>
      </c>
      <c r="H1" s="159" t="s">
        <v>201</v>
      </c>
      <c r="I1" s="160" t="s">
        <v>202</v>
      </c>
      <c r="J1" s="161" t="s">
        <v>196</v>
      </c>
      <c r="K1" s="159" t="s">
        <v>203</v>
      </c>
      <c r="L1" s="159" t="s">
        <v>204</v>
      </c>
      <c r="M1" s="160" t="s">
        <v>205</v>
      </c>
      <c r="Z1" s="162" t="s">
        <v>196</v>
      </c>
      <c r="AA1" s="163" t="s">
        <v>206</v>
      </c>
      <c r="AB1" s="163" t="s">
        <v>207</v>
      </c>
      <c r="AC1" s="164" t="s">
        <v>208</v>
      </c>
      <c r="AD1" s="162" t="s">
        <v>196</v>
      </c>
      <c r="AE1" s="163" t="s">
        <v>209</v>
      </c>
      <c r="AF1" s="163" t="s">
        <v>210</v>
      </c>
      <c r="AG1" s="164" t="s">
        <v>211</v>
      </c>
      <c r="AH1" s="165" t="s">
        <v>196</v>
      </c>
      <c r="AI1" s="163" t="s">
        <v>212</v>
      </c>
      <c r="AJ1" s="163" t="s">
        <v>213</v>
      </c>
      <c r="AK1" s="164" t="s">
        <v>214</v>
      </c>
      <c r="AX1" s="166" t="s">
        <v>196</v>
      </c>
      <c r="AY1" s="167" t="s">
        <v>215</v>
      </c>
      <c r="AZ1" s="167" t="s">
        <v>216</v>
      </c>
      <c r="BA1" s="168" t="s">
        <v>217</v>
      </c>
      <c r="BB1" s="166" t="s">
        <v>196</v>
      </c>
      <c r="BC1" s="167" t="s">
        <v>218</v>
      </c>
      <c r="BD1" s="167" t="s">
        <v>219</v>
      </c>
      <c r="BE1" s="168" t="s">
        <v>220</v>
      </c>
      <c r="BF1" s="166" t="s">
        <v>196</v>
      </c>
      <c r="BG1" s="167" t="s">
        <v>221</v>
      </c>
      <c r="BH1" s="167" t="s">
        <v>222</v>
      </c>
      <c r="BI1" s="168" t="s">
        <v>223</v>
      </c>
    </row>
    <row r="2">
      <c r="B2" s="169">
        <f>1/0.016</f>
        <v>62.5</v>
      </c>
      <c r="C2" s="170">
        <f>1/(B2*0.0613)</f>
        <v>0.2610114192</v>
      </c>
      <c r="D2" s="170">
        <f>1/(1+(C2*100))</f>
        <v>0.03689881418</v>
      </c>
      <c r="E2" s="170">
        <f>1/(1+(C2*400))</f>
        <v>0.009487254887</v>
      </c>
      <c r="F2" s="171">
        <f>1/0.0296</f>
        <v>33.78378378</v>
      </c>
      <c r="G2" s="172">
        <f>1/(F2*0.4558)</f>
        <v>0.06494076349</v>
      </c>
      <c r="H2" s="172">
        <f>1/(1+(G2*100))</f>
        <v>0.1334387259</v>
      </c>
      <c r="I2" s="172">
        <f>1/(1+(G2*400))</f>
        <v>0.03706956847</v>
      </c>
      <c r="J2" s="173">
        <f>1/0.0389</f>
        <v>25.70694087</v>
      </c>
      <c r="K2" s="170">
        <f>1/(J2*0.3036)</f>
        <v>0.1281291173</v>
      </c>
      <c r="L2" s="170">
        <f>1/(1+(K2*100))</f>
        <v>0.07239603205</v>
      </c>
      <c r="M2" s="174">
        <f>1/(1+(K2*400))</f>
        <v>0.01913815275</v>
      </c>
      <c r="Z2" s="175">
        <f>1/0.0148</f>
        <v>67.56756757</v>
      </c>
      <c r="AA2" s="176">
        <f>1/(Z2*0.0588)</f>
        <v>0.2517006803</v>
      </c>
      <c r="AB2" s="176">
        <f>1/(1+($AA$2*Y6))</f>
        <v>0.03821159345</v>
      </c>
      <c r="AC2" s="177">
        <f>1/(1+($AA$2*Y9))</f>
        <v>0.009834749448</v>
      </c>
      <c r="AD2" s="178">
        <f>1/0.0224</f>
        <v>44.64285714</v>
      </c>
      <c r="AE2" s="179">
        <f>1/(AD2*0.0643)</f>
        <v>0.3483670295</v>
      </c>
      <c r="AF2" s="179">
        <f>1/(1+($AE$2*Y6))</f>
        <v>0.02790435273</v>
      </c>
      <c r="AG2" s="180">
        <f>1/(1+($AE$2*Y9))</f>
        <v>0.007125206387</v>
      </c>
      <c r="AH2" s="181">
        <f>1/0.0241</f>
        <v>41.49377593</v>
      </c>
      <c r="AI2" s="179">
        <f>1/(AH2*0.2001)</f>
        <v>0.1204397801</v>
      </c>
      <c r="AJ2" s="112">
        <f>1/(1+($AI$2*100))</f>
        <v>0.07666372936</v>
      </c>
      <c r="AK2" s="113">
        <f>1/(1+($AI$2*400))</f>
        <v>0.0203351592</v>
      </c>
      <c r="AX2" s="181">
        <f>1/0.0166</f>
        <v>60.24096386</v>
      </c>
      <c r="AY2" s="182">
        <f>1/(AX2*0.0608)</f>
        <v>0.2730263158</v>
      </c>
      <c r="AZ2" s="182">
        <f>1/(1+($AY$2*100))</f>
        <v>0.03533240353</v>
      </c>
      <c r="BA2" s="182">
        <f>1/(1+($AY$2*400))</f>
        <v>0.009073543457</v>
      </c>
      <c r="BB2" s="181">
        <f>1/0.0332</f>
        <v>30.12048193</v>
      </c>
      <c r="BC2" s="182">
        <f>1/(BB2*(0.6813))</f>
        <v>0.04873036841</v>
      </c>
      <c r="BD2" s="182">
        <f>1/(1+($BC$2*100))</f>
        <v>0.1702696624</v>
      </c>
      <c r="BE2" s="182">
        <f>1/(1+($BC$2*400))</f>
        <v>0.04879918059</v>
      </c>
      <c r="BF2" s="183">
        <f>1/0.0369</f>
        <v>27.100271</v>
      </c>
      <c r="BG2" s="184">
        <f>1/(BF2*0.2668)</f>
        <v>0.1383058471</v>
      </c>
      <c r="BH2" s="111">
        <f>1/(1+($BG$2*100))</f>
        <v>0.06742822483</v>
      </c>
      <c r="BI2" s="127">
        <f>1/(1+($BG$2*400))</f>
        <v>0.0177549445</v>
      </c>
    </row>
    <row r="3">
      <c r="A3" s="147"/>
      <c r="B3" s="185" t="s">
        <v>226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2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85" t="s">
        <v>227</v>
      </c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186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85" t="s">
        <v>228</v>
      </c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2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</row>
    <row r="4">
      <c r="A4" s="147"/>
      <c r="B4" s="187" t="s">
        <v>229</v>
      </c>
      <c r="C4" s="188"/>
      <c r="D4" s="188"/>
      <c r="E4" s="189"/>
      <c r="F4" s="187" t="s">
        <v>230</v>
      </c>
      <c r="G4" s="188"/>
      <c r="H4" s="188"/>
      <c r="I4" s="190"/>
      <c r="J4" s="191" t="s">
        <v>231</v>
      </c>
      <c r="K4" s="91"/>
      <c r="L4" s="91"/>
      <c r="M4" s="92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87" t="s">
        <v>229</v>
      </c>
      <c r="AA4" s="188"/>
      <c r="AB4" s="188"/>
      <c r="AC4" s="189"/>
      <c r="AD4" s="187" t="s">
        <v>230</v>
      </c>
      <c r="AE4" s="188"/>
      <c r="AF4" s="188"/>
      <c r="AG4" s="190"/>
      <c r="AH4" s="191" t="s">
        <v>231</v>
      </c>
      <c r="AI4" s="91"/>
      <c r="AJ4" s="91"/>
      <c r="AK4" s="92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87" t="s">
        <v>229</v>
      </c>
      <c r="AY4" s="188"/>
      <c r="AZ4" s="188"/>
      <c r="BA4" s="189"/>
      <c r="BB4" s="187" t="s">
        <v>230</v>
      </c>
      <c r="BC4" s="188"/>
      <c r="BD4" s="188"/>
      <c r="BE4" s="190"/>
      <c r="BF4" s="191" t="s">
        <v>231</v>
      </c>
      <c r="BG4" s="91"/>
      <c r="BH4" s="91"/>
      <c r="BI4" s="92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</row>
    <row r="5">
      <c r="A5" s="192" t="s">
        <v>168</v>
      </c>
      <c r="B5" s="166" t="s">
        <v>232</v>
      </c>
      <c r="C5" s="167" t="s">
        <v>233</v>
      </c>
      <c r="D5" s="193" t="s">
        <v>234</v>
      </c>
      <c r="E5" s="194" t="s">
        <v>171</v>
      </c>
      <c r="F5" s="166" t="s">
        <v>232</v>
      </c>
      <c r="G5" s="167" t="s">
        <v>233</v>
      </c>
      <c r="H5" s="193" t="s">
        <v>234</v>
      </c>
      <c r="I5" s="168" t="s">
        <v>171</v>
      </c>
      <c r="J5" s="166" t="s">
        <v>232</v>
      </c>
      <c r="K5" s="167" t="s">
        <v>233</v>
      </c>
      <c r="L5" s="193" t="s">
        <v>234</v>
      </c>
      <c r="M5" s="168" t="s">
        <v>171</v>
      </c>
      <c r="Y5" s="195" t="s">
        <v>168</v>
      </c>
      <c r="Z5" s="166" t="s">
        <v>232</v>
      </c>
      <c r="AA5" s="167" t="s">
        <v>233</v>
      </c>
      <c r="AB5" s="193" t="s">
        <v>234</v>
      </c>
      <c r="AC5" s="194" t="s">
        <v>171</v>
      </c>
      <c r="AD5" s="166" t="s">
        <v>232</v>
      </c>
      <c r="AE5" s="167" t="s">
        <v>233</v>
      </c>
      <c r="AF5" s="193" t="s">
        <v>234</v>
      </c>
      <c r="AG5" s="168" t="s">
        <v>171</v>
      </c>
      <c r="AH5" s="166" t="s">
        <v>232</v>
      </c>
      <c r="AI5" s="167" t="s">
        <v>233</v>
      </c>
      <c r="AJ5" s="193" t="s">
        <v>234</v>
      </c>
      <c r="AK5" s="168" t="s">
        <v>171</v>
      </c>
      <c r="AW5" s="192" t="s">
        <v>168</v>
      </c>
      <c r="AX5" s="166" t="s">
        <v>232</v>
      </c>
      <c r="AY5" s="167" t="s">
        <v>233</v>
      </c>
      <c r="AZ5" s="193" t="s">
        <v>234</v>
      </c>
      <c r="BA5" s="194" t="s">
        <v>171</v>
      </c>
      <c r="BB5" s="166" t="s">
        <v>232</v>
      </c>
      <c r="BC5" s="167" t="s">
        <v>233</v>
      </c>
      <c r="BD5" s="193" t="s">
        <v>234</v>
      </c>
      <c r="BE5" s="168" t="s">
        <v>171</v>
      </c>
      <c r="BF5" s="166" t="s">
        <v>232</v>
      </c>
      <c r="BG5" s="167" t="s">
        <v>233</v>
      </c>
      <c r="BH5" s="193" t="s">
        <v>234</v>
      </c>
      <c r="BI5" s="168" t="s">
        <v>171</v>
      </c>
    </row>
    <row r="6">
      <c r="A6" s="196">
        <v>100.0</v>
      </c>
      <c r="B6" s="197">
        <v>1.01</v>
      </c>
      <c r="C6" s="14">
        <v>17.91</v>
      </c>
      <c r="D6" s="34">
        <f t="shared" ref="D6:D9" si="1">B6/C6</f>
        <v>0.05639307649</v>
      </c>
      <c r="E6" s="24">
        <f t="shared" ref="E6:E9" si="2">$B$2*$C$2*B6/(1+$C$2*B6)</f>
        <v>13.03898786</v>
      </c>
      <c r="F6" s="198">
        <v>3.4302741358760427</v>
      </c>
      <c r="G6" s="199">
        <v>17.421533571712352</v>
      </c>
      <c r="H6" s="34">
        <f t="shared" ref="H6:H9" si="3">F6/G6</f>
        <v>0.1968985177</v>
      </c>
      <c r="I6" s="201">
        <f t="shared" ref="I6:I9" si="4">$F$2*$G$2*F6/(1+$G$2*F6)</f>
        <v>6.154767378</v>
      </c>
      <c r="J6" s="151">
        <v>14.455303933253873</v>
      </c>
      <c r="K6" s="11">
        <v>15.216527612236789</v>
      </c>
      <c r="L6" s="34">
        <f t="shared" ref="L6:L9" si="5">J6/K6</f>
        <v>0.9499738903</v>
      </c>
      <c r="M6" s="201">
        <f t="shared" ref="M6:M9" si="6">$J$2*$K$2*J6/(1+$K$2*J6)</f>
        <v>16.69374629</v>
      </c>
      <c r="Y6" s="203">
        <v>100.0</v>
      </c>
      <c r="Z6" s="198">
        <v>1.05</v>
      </c>
      <c r="AA6" s="199">
        <v>17.9</v>
      </c>
      <c r="AB6" s="34">
        <f t="shared" ref="AB6:AB9" si="7">Z6/AA6</f>
        <v>0.05865921788</v>
      </c>
      <c r="AC6" s="205">
        <f t="shared" ref="AC6:AC9" si="8">$Z$2*$AA$2*Z6/(1+$AA$2*Z6)</f>
        <v>14.12429379</v>
      </c>
      <c r="AD6" s="198">
        <v>1.03</v>
      </c>
      <c r="AE6" s="199">
        <v>17.9</v>
      </c>
      <c r="AF6" s="34">
        <f t="shared" ref="AF6:AF9" si="9">AD6/AE6</f>
        <v>0.05754189944</v>
      </c>
      <c r="AG6" s="24">
        <f t="shared" ref="AG6:AG9" si="10">$AD$2*$AE$2*AD6/(1+$AE$2*AD6)</f>
        <v>11.78867372</v>
      </c>
      <c r="AH6" s="198">
        <v>5.79141835518474</v>
      </c>
      <c r="AI6" s="199">
        <v>16.9493047278506</v>
      </c>
      <c r="AJ6" s="34">
        <f t="shared" ref="AJ6:AJ9" si="11">AH6/AI6</f>
        <v>0.3416906149</v>
      </c>
      <c r="AK6" s="201">
        <f t="shared" ref="AK6:AK9" si="12">$AH$2*$AI$2*AH6/(1+$AI$2*AH6)</f>
        <v>17.04997231</v>
      </c>
      <c r="AW6" s="196">
        <v>100.0</v>
      </c>
      <c r="AX6" s="151">
        <v>1.7914183551847436</v>
      </c>
      <c r="AY6" s="11">
        <v>17.749304727850614</v>
      </c>
      <c r="AZ6" s="34">
        <f t="shared" ref="AZ6:AZ9" si="13">AX6/AY6</f>
        <v>0.1009289312</v>
      </c>
      <c r="BA6" s="207">
        <f t="shared" ref="BA6:BA9" si="14">$AX$2*$AY$2*AX6/(1+$AY$2*AX6)</f>
        <v>19.78646937</v>
      </c>
      <c r="BB6" s="198">
        <v>14.902264600715139</v>
      </c>
      <c r="BC6" s="199">
        <v>15.127135478744535</v>
      </c>
      <c r="BD6" s="34">
        <f t="shared" ref="BD6:BD9" si="15">BB6/BC6</f>
        <v>0.9851346028</v>
      </c>
      <c r="BE6" s="207">
        <f t="shared" ref="BE6:BE9" si="16">$BB$2*$BC$2*BB6/(1+$BC$2*BB6)</f>
        <v>12.67139909</v>
      </c>
      <c r="BF6" s="151">
        <v>3.4302741358760436</v>
      </c>
      <c r="BG6" s="11">
        <v>17.421533571712352</v>
      </c>
      <c r="BH6" s="34">
        <f t="shared" ref="BH6:BH9" si="17">BF6/BG6</f>
        <v>0.1968985177</v>
      </c>
      <c r="BI6" s="209">
        <f t="shared" ref="BI6:BI9" si="18">$BF$2*$BG$2*BF6/(1+$BG$2*BF6)</f>
        <v>8.720065301</v>
      </c>
    </row>
    <row r="7">
      <c r="A7" s="196">
        <v>200.0</v>
      </c>
      <c r="B7" s="151">
        <v>4.32419547079857</v>
      </c>
      <c r="C7" s="11">
        <v>38.77632101708383</v>
      </c>
      <c r="D7" s="34">
        <f t="shared" si="1"/>
        <v>0.1115163934</v>
      </c>
      <c r="E7" s="24">
        <f t="shared" si="2"/>
        <v>33.13886628</v>
      </c>
      <c r="F7" s="198">
        <v>77.77473182359952</v>
      </c>
      <c r="G7" s="199">
        <v>24.08621374652364</v>
      </c>
      <c r="H7" s="34">
        <f t="shared" si="3"/>
        <v>3.229014433</v>
      </c>
      <c r="I7" s="201">
        <f t="shared" si="4"/>
        <v>28.20037988</v>
      </c>
      <c r="J7" s="151">
        <v>77.17878426698451</v>
      </c>
      <c r="K7" s="11">
        <v>24.20540325784664</v>
      </c>
      <c r="L7" s="34">
        <f t="shared" si="5"/>
        <v>3.18849405</v>
      </c>
      <c r="M7" s="201">
        <f t="shared" si="6"/>
        <v>23.34609083</v>
      </c>
      <c r="Y7" s="203">
        <v>200.0</v>
      </c>
      <c r="Z7" s="151">
        <v>5.814064362336113</v>
      </c>
      <c r="AA7" s="11">
        <v>38.47834723877632</v>
      </c>
      <c r="AB7" s="34">
        <f t="shared" si="7"/>
        <v>0.1510996386</v>
      </c>
      <c r="AC7" s="205">
        <f t="shared" si="8"/>
        <v>40.13903015</v>
      </c>
      <c r="AD7" s="151">
        <v>16.392133492252682</v>
      </c>
      <c r="AE7" s="11">
        <v>36.36273341279301</v>
      </c>
      <c r="AF7" s="34">
        <f t="shared" si="9"/>
        <v>0.4507948648</v>
      </c>
      <c r="AG7" s="24">
        <f t="shared" si="10"/>
        <v>37.99014902</v>
      </c>
      <c r="AH7" s="198">
        <v>19.073897497020262</v>
      </c>
      <c r="AI7" s="210">
        <v>32.25474771553428</v>
      </c>
      <c r="AJ7" s="34">
        <f t="shared" si="11"/>
        <v>0.5913516257</v>
      </c>
      <c r="AK7" s="201">
        <f t="shared" si="12"/>
        <v>28.90944045</v>
      </c>
      <c r="AW7" s="196">
        <v>200.0</v>
      </c>
      <c r="AX7" s="151">
        <v>4.3241954707985695</v>
      </c>
      <c r="AY7" s="11">
        <v>38.77632101708383</v>
      </c>
      <c r="AZ7" s="34">
        <f t="shared" si="13"/>
        <v>0.1115163934</v>
      </c>
      <c r="BA7" s="207">
        <f t="shared" si="14"/>
        <v>32.61534036</v>
      </c>
      <c r="BB7" s="198">
        <v>97.14302741358762</v>
      </c>
      <c r="BC7" s="210">
        <v>23.0</v>
      </c>
      <c r="BD7" s="34">
        <f t="shared" si="15"/>
        <v>4.223609888</v>
      </c>
      <c r="BE7" s="207">
        <f t="shared" si="16"/>
        <v>24.86735129</v>
      </c>
      <c r="BF7" s="151">
        <v>78.8176400476758</v>
      </c>
      <c r="BG7" s="11">
        <v>23.877632101708386</v>
      </c>
      <c r="BH7" s="34">
        <f t="shared" si="17"/>
        <v>3.300898502</v>
      </c>
      <c r="BI7" s="209">
        <f t="shared" si="18"/>
        <v>24.82311727</v>
      </c>
    </row>
    <row r="8">
      <c r="A8" s="196">
        <v>300.0</v>
      </c>
      <c r="B8" s="151">
        <v>32.33373063170441</v>
      </c>
      <c r="C8" s="11">
        <v>48.013508144616594</v>
      </c>
      <c r="D8" s="34">
        <f t="shared" si="1"/>
        <v>0.6734298717</v>
      </c>
      <c r="E8" s="24">
        <f t="shared" si="2"/>
        <v>55.8788676</v>
      </c>
      <c r="F8" s="198">
        <v>128.2812872467223</v>
      </c>
      <c r="G8" s="199">
        <v>28.823996821613022</v>
      </c>
      <c r="H8" s="34">
        <f t="shared" si="3"/>
        <v>4.450503101</v>
      </c>
      <c r="I8" s="201">
        <f t="shared" si="4"/>
        <v>30.16306518</v>
      </c>
      <c r="J8" s="151">
        <v>150.1823599523242</v>
      </c>
      <c r="K8" s="11">
        <v>24.4437822804926</v>
      </c>
      <c r="L8" s="34">
        <f t="shared" si="5"/>
        <v>6.143990248</v>
      </c>
      <c r="M8" s="201">
        <f t="shared" si="6"/>
        <v>24.43700659</v>
      </c>
      <c r="Y8" s="203">
        <v>300.0</v>
      </c>
      <c r="Z8" s="151">
        <v>26.67222884386174</v>
      </c>
      <c r="AA8" s="11">
        <v>52.0</v>
      </c>
      <c r="AB8" s="34">
        <f t="shared" si="7"/>
        <v>0.5129274778</v>
      </c>
      <c r="AC8" s="205">
        <f t="shared" si="8"/>
        <v>58.80782366</v>
      </c>
      <c r="AD8" s="151">
        <v>61.68414779499404</v>
      </c>
      <c r="AE8" s="11">
        <v>42.14342471195867</v>
      </c>
      <c r="AF8" s="34">
        <f t="shared" si="9"/>
        <v>1.46367193</v>
      </c>
      <c r="AG8" s="24">
        <f t="shared" si="10"/>
        <v>42.65773525</v>
      </c>
      <c r="AH8" s="198">
        <v>111.127532777116</v>
      </c>
      <c r="AI8" s="211">
        <v>35.83</v>
      </c>
      <c r="AJ8" s="34">
        <f t="shared" si="11"/>
        <v>3.101521987</v>
      </c>
      <c r="AK8" s="201">
        <f t="shared" si="12"/>
        <v>38.60909369</v>
      </c>
      <c r="AW8" s="196">
        <v>300.0</v>
      </c>
      <c r="AX8" s="151">
        <v>22.351609058402857</v>
      </c>
      <c r="AY8" s="11">
        <v>50.00993245927691</v>
      </c>
      <c r="AZ8" s="34">
        <f t="shared" si="13"/>
        <v>0.4469433962</v>
      </c>
      <c r="BA8" s="207">
        <f t="shared" si="14"/>
        <v>51.75940007</v>
      </c>
      <c r="BB8" s="198">
        <v>141.0</v>
      </c>
      <c r="BC8" s="199">
        <v>26.28025427095748</v>
      </c>
      <c r="BD8" s="34">
        <f t="shared" si="15"/>
        <v>5.365244892</v>
      </c>
      <c r="BE8" s="207">
        <f t="shared" si="16"/>
        <v>26.29370629</v>
      </c>
      <c r="BF8" s="151">
        <v>148.99046483909416</v>
      </c>
      <c r="BG8" s="11">
        <v>24.68216130313865</v>
      </c>
      <c r="BH8" s="34">
        <f t="shared" si="17"/>
        <v>6.036362173</v>
      </c>
      <c r="BI8" s="209">
        <f t="shared" si="18"/>
        <v>25.8459919</v>
      </c>
    </row>
    <row r="9">
      <c r="A9" s="212">
        <v>400.0</v>
      </c>
      <c r="B9" s="213">
        <v>54.085816448152556</v>
      </c>
      <c r="C9" s="214">
        <v>62.038140643623365</v>
      </c>
      <c r="D9" s="34">
        <f t="shared" si="1"/>
        <v>0.871815562</v>
      </c>
      <c r="E9" s="24">
        <f t="shared" si="2"/>
        <v>58.36558609</v>
      </c>
      <c r="F9" s="215">
        <v>200.0</v>
      </c>
      <c r="G9" s="210">
        <v>32.86</v>
      </c>
      <c r="H9" s="34">
        <f t="shared" si="3"/>
        <v>6.086427267</v>
      </c>
      <c r="I9" s="201">
        <f t="shared" si="4"/>
        <v>31.36861257</v>
      </c>
      <c r="J9" s="213">
        <v>240.17044100119188</v>
      </c>
      <c r="K9" s="214">
        <v>24.8212157330155</v>
      </c>
      <c r="L9" s="34">
        <f t="shared" si="5"/>
        <v>9.676014406</v>
      </c>
      <c r="M9" s="201">
        <f t="shared" si="6"/>
        <v>24.89785514</v>
      </c>
      <c r="Y9" s="216">
        <v>400.0</v>
      </c>
      <c r="Z9" s="217">
        <v>32.0</v>
      </c>
      <c r="AA9" s="218">
        <v>66.46</v>
      </c>
      <c r="AB9" s="34">
        <f t="shared" si="7"/>
        <v>0.4814926271</v>
      </c>
      <c r="AC9" s="205">
        <f t="shared" si="8"/>
        <v>60.10518407</v>
      </c>
      <c r="AD9" s="219">
        <v>144.22288438617403</v>
      </c>
      <c r="AE9" s="214">
        <v>44.01072705601908</v>
      </c>
      <c r="AF9" s="34">
        <f t="shared" si="9"/>
        <v>3.276993907</v>
      </c>
      <c r="AG9" s="24">
        <f t="shared" si="10"/>
        <v>43.77164947</v>
      </c>
      <c r="AH9" s="219">
        <v>150.0</v>
      </c>
      <c r="AI9" s="210">
        <v>41.0</v>
      </c>
      <c r="AJ9" s="34">
        <f t="shared" si="11"/>
        <v>3.658536585</v>
      </c>
      <c r="AK9" s="201">
        <f t="shared" si="12"/>
        <v>39.31744908</v>
      </c>
      <c r="AW9" s="212">
        <v>400.0</v>
      </c>
      <c r="AX9" s="219">
        <v>76.880810488677</v>
      </c>
      <c r="AY9" s="214">
        <v>57.479141835518476</v>
      </c>
      <c r="AZ9" s="34">
        <f t="shared" si="13"/>
        <v>1.337542768</v>
      </c>
      <c r="BA9" s="207">
        <f t="shared" si="14"/>
        <v>57.50155336</v>
      </c>
      <c r="BB9" s="219">
        <v>214.5</v>
      </c>
      <c r="BC9" s="220">
        <v>28.0</v>
      </c>
      <c r="BD9" s="34">
        <f t="shared" si="15"/>
        <v>7.660714286</v>
      </c>
      <c r="BE9" s="207">
        <f t="shared" si="16"/>
        <v>27.49048406</v>
      </c>
      <c r="BF9" s="152">
        <v>249.8545887961859</v>
      </c>
      <c r="BG9" s="153">
        <v>26.8843861740167</v>
      </c>
      <c r="BH9" s="34">
        <f t="shared" si="17"/>
        <v>9.29366909</v>
      </c>
      <c r="BI9" s="209">
        <f t="shared" si="18"/>
        <v>26.33809292</v>
      </c>
    </row>
    <row r="10">
      <c r="A10" s="5"/>
      <c r="B10" s="141"/>
      <c r="C10" s="141"/>
      <c r="D10" s="65"/>
      <c r="E10" s="65"/>
      <c r="F10" s="141"/>
      <c r="G10" s="141"/>
      <c r="H10" s="65"/>
      <c r="I10" s="65"/>
      <c r="J10" s="141"/>
      <c r="K10" s="141"/>
      <c r="L10" s="65"/>
      <c r="M10" s="65"/>
      <c r="Y10" s="5"/>
      <c r="Z10" s="141"/>
      <c r="AA10" s="141"/>
      <c r="AB10" s="65"/>
      <c r="AC10" s="65"/>
      <c r="AD10" s="141"/>
      <c r="AE10" s="141"/>
      <c r="AF10" s="65"/>
      <c r="AG10" s="65"/>
      <c r="AH10" s="141"/>
      <c r="AI10" s="141"/>
      <c r="AJ10" s="65"/>
      <c r="AK10" s="65"/>
      <c r="AW10" s="5"/>
      <c r="AX10" s="141"/>
      <c r="AY10" s="141"/>
      <c r="AZ10" s="65"/>
      <c r="BA10" s="65"/>
      <c r="BB10" s="141"/>
      <c r="BC10" s="141"/>
      <c r="BD10" s="65"/>
      <c r="BE10" s="65"/>
      <c r="BF10" s="141"/>
      <c r="BG10" s="141"/>
      <c r="BH10" s="65"/>
      <c r="BI10" s="65"/>
    </row>
    <row r="11">
      <c r="A11" s="5"/>
      <c r="B11" s="141"/>
      <c r="C11" s="141"/>
      <c r="D11" s="65"/>
      <c r="E11" s="65"/>
      <c r="F11" s="141"/>
      <c r="G11" s="141"/>
      <c r="H11" s="65"/>
      <c r="I11" s="65"/>
      <c r="J11" s="141"/>
      <c r="K11" s="141"/>
      <c r="L11" s="65"/>
      <c r="M11" s="65"/>
      <c r="Y11" s="5"/>
      <c r="Z11" s="141"/>
      <c r="AA11" s="141"/>
      <c r="AB11" s="65"/>
      <c r="AC11" s="65"/>
      <c r="AD11" s="141"/>
      <c r="AE11" s="141"/>
      <c r="AF11" s="65"/>
      <c r="AG11" s="65"/>
      <c r="AH11" s="141"/>
      <c r="AJ11" s="65"/>
      <c r="AK11" s="65"/>
      <c r="AW11" s="5"/>
      <c r="AX11" s="141"/>
      <c r="AY11" s="141"/>
      <c r="AZ11" s="65"/>
      <c r="BA11" s="65"/>
      <c r="BB11" s="141"/>
      <c r="BC11" s="141"/>
      <c r="BD11" s="65"/>
      <c r="BE11" s="65"/>
      <c r="BF11" s="141"/>
      <c r="BG11" s="141"/>
      <c r="BH11" s="65"/>
      <c r="BI11" s="65"/>
    </row>
    <row r="12">
      <c r="A12" s="141"/>
      <c r="B12" s="141"/>
      <c r="C12" s="141"/>
      <c r="D12" s="65"/>
      <c r="F12" s="141"/>
      <c r="G12" s="141"/>
      <c r="H12" s="65"/>
      <c r="I12" s="65" t="s">
        <v>243</v>
      </c>
      <c r="J12" s="141"/>
      <c r="K12" s="141"/>
      <c r="L12" s="65"/>
      <c r="M12" s="65"/>
      <c r="Y12" s="141"/>
      <c r="Z12" s="141"/>
      <c r="AA12" s="141"/>
      <c r="AB12" s="65"/>
      <c r="AC12" s="65"/>
      <c r="AD12" s="141"/>
      <c r="AE12" s="141"/>
      <c r="AF12" s="65"/>
      <c r="AG12" s="65"/>
      <c r="AH12" s="141"/>
      <c r="AJ12" s="65"/>
      <c r="AK12" s="65"/>
      <c r="AW12" s="141"/>
      <c r="AX12" s="141"/>
      <c r="AY12" s="141"/>
      <c r="AZ12" s="65"/>
      <c r="BA12" s="65"/>
      <c r="BB12" s="141"/>
      <c r="BC12" s="141"/>
      <c r="BD12" s="65"/>
      <c r="BE12" s="65"/>
      <c r="BF12" s="141"/>
      <c r="BG12" s="141"/>
      <c r="BH12" s="65"/>
      <c r="BI12" s="65"/>
    </row>
    <row r="13">
      <c r="A13" s="141"/>
      <c r="B13" s="141"/>
      <c r="C13" s="141"/>
      <c r="D13" s="65"/>
      <c r="E13" s="65"/>
      <c r="F13" s="141"/>
      <c r="G13" s="141"/>
      <c r="H13" s="65"/>
      <c r="I13" s="65"/>
      <c r="J13" s="141"/>
      <c r="K13" s="141"/>
      <c r="L13" s="65"/>
      <c r="M13" s="65"/>
      <c r="Y13" s="141"/>
      <c r="Z13" s="221"/>
      <c r="AA13" s="141"/>
      <c r="AB13" s="65"/>
      <c r="AC13" s="65"/>
      <c r="AD13" s="141"/>
      <c r="AE13" s="141"/>
      <c r="AF13" s="65"/>
      <c r="AG13" s="65"/>
      <c r="AH13" s="141"/>
      <c r="AJ13" s="65"/>
      <c r="AK13" s="65"/>
      <c r="AW13" s="141"/>
      <c r="AX13" s="141"/>
      <c r="AY13" s="141"/>
      <c r="AZ13" s="65"/>
      <c r="BA13" s="65"/>
      <c r="BB13" s="141"/>
      <c r="BC13" s="141" t="s">
        <v>244</v>
      </c>
      <c r="BD13" s="65" t="s">
        <v>245</v>
      </c>
      <c r="BE13" s="65"/>
      <c r="BF13" s="141"/>
      <c r="BG13" s="141"/>
      <c r="BH13" s="65"/>
      <c r="BI13" s="65"/>
    </row>
    <row r="14">
      <c r="B14" s="166" t="s">
        <v>246</v>
      </c>
      <c r="C14" s="167" t="s">
        <v>247</v>
      </c>
      <c r="D14" s="167" t="s">
        <v>248</v>
      </c>
      <c r="E14" s="168" t="s">
        <v>249</v>
      </c>
      <c r="F14" s="147"/>
      <c r="G14" s="166" t="s">
        <v>250</v>
      </c>
      <c r="H14" s="167" t="s">
        <v>251</v>
      </c>
      <c r="I14" s="167" t="s">
        <v>252</v>
      </c>
      <c r="J14" s="168" t="s">
        <v>253</v>
      </c>
      <c r="K14" s="147"/>
      <c r="L14" s="166" t="s">
        <v>254</v>
      </c>
      <c r="M14" s="167" t="s">
        <v>255</v>
      </c>
      <c r="N14" s="167" t="s">
        <v>256</v>
      </c>
      <c r="O14" s="168" t="s">
        <v>257</v>
      </c>
      <c r="P14" s="222"/>
      <c r="Z14" s="166" t="s">
        <v>258</v>
      </c>
      <c r="AA14" s="167" t="s">
        <v>259</v>
      </c>
      <c r="AB14" s="167" t="s">
        <v>260</v>
      </c>
      <c r="AC14" s="168" t="s">
        <v>261</v>
      </c>
      <c r="AE14" s="166" t="s">
        <v>262</v>
      </c>
      <c r="AF14" s="167" t="s">
        <v>263</v>
      </c>
      <c r="AG14" s="167" t="s">
        <v>264</v>
      </c>
      <c r="AH14" s="168" t="s">
        <v>265</v>
      </c>
      <c r="AJ14" s="166" t="s">
        <v>266</v>
      </c>
      <c r="AK14" s="167" t="s">
        <v>267</v>
      </c>
      <c r="AL14" s="167" t="s">
        <v>268</v>
      </c>
      <c r="AM14" s="168" t="s">
        <v>269</v>
      </c>
      <c r="AN14" s="222"/>
      <c r="AX14" s="166" t="s">
        <v>270</v>
      </c>
      <c r="AY14" s="167" t="s">
        <v>271</v>
      </c>
      <c r="AZ14" s="167" t="s">
        <v>272</v>
      </c>
      <c r="BA14" s="168" t="s">
        <v>273</v>
      </c>
      <c r="BC14" s="166" t="s">
        <v>274</v>
      </c>
      <c r="BD14" s="167" t="s">
        <v>275</v>
      </c>
      <c r="BE14" s="167" t="s">
        <v>276</v>
      </c>
      <c r="BF14" s="168" t="s">
        <v>277</v>
      </c>
      <c r="BH14" s="166" t="s">
        <v>278</v>
      </c>
      <c r="BI14" s="167" t="s">
        <v>279</v>
      </c>
      <c r="BJ14" s="167" t="s">
        <v>280</v>
      </c>
      <c r="BK14" s="168" t="s">
        <v>281</v>
      </c>
      <c r="BL14" s="222"/>
    </row>
    <row r="15">
      <c r="B15" s="223">
        <f>POWER(10,1.3107)</f>
        <v>20.45031491</v>
      </c>
      <c r="C15" s="224">
        <v>0.2763</v>
      </c>
      <c r="D15" s="224">
        <f>1/C15</f>
        <v>3.619254434</v>
      </c>
      <c r="E15" s="225">
        <v>0.9011</v>
      </c>
      <c r="F15" s="226"/>
      <c r="G15" s="227">
        <f>POWER(10,1.1541)</f>
        <v>14.2593589</v>
      </c>
      <c r="H15" s="228">
        <v>0.1438</v>
      </c>
      <c r="I15" s="228">
        <f>1/H15</f>
        <v>6.954102921</v>
      </c>
      <c r="J15" s="229">
        <v>0.9283</v>
      </c>
      <c r="K15" s="226"/>
      <c r="L15" s="230">
        <f>POWER(10,0.9909)</f>
        <v>9.792644755</v>
      </c>
      <c r="M15" s="232">
        <v>0.1822</v>
      </c>
      <c r="N15" s="232">
        <f>1/M15</f>
        <v>5.488474204</v>
      </c>
      <c r="O15" s="235">
        <v>0.8847</v>
      </c>
      <c r="P15" s="226"/>
      <c r="Z15" s="238">
        <f>POWER(10,1.267)</f>
        <v>18.49268619</v>
      </c>
      <c r="AA15" s="232">
        <v>0.352</v>
      </c>
      <c r="AB15" s="232">
        <f>1/AA15</f>
        <v>2.840909091</v>
      </c>
      <c r="AC15" s="235">
        <v>0.9654</v>
      </c>
      <c r="AD15" s="221"/>
      <c r="AE15" s="240">
        <f>POWER(10,1.2766)</f>
        <v>18.90601508</v>
      </c>
      <c r="AF15" s="242">
        <v>0.1884</v>
      </c>
      <c r="AG15" s="242">
        <f>1/AF15</f>
        <v>5.307855626</v>
      </c>
      <c r="AH15" s="244">
        <v>0.9452</v>
      </c>
      <c r="AI15" s="221"/>
      <c r="AJ15" s="240">
        <f>POWER(10,1.1109)</f>
        <v>12.90921994</v>
      </c>
      <c r="AK15" s="242">
        <v>0.2332</v>
      </c>
      <c r="AL15" s="242">
        <f>1/AK15</f>
        <v>4.288164666</v>
      </c>
      <c r="AM15" s="244">
        <v>0.8325</v>
      </c>
      <c r="AN15" s="226"/>
      <c r="AX15" s="247">
        <f>POWER(10,1.2859)</f>
        <v>19.31523516</v>
      </c>
      <c r="AY15" s="242">
        <v>0.2795</v>
      </c>
      <c r="AZ15" s="242">
        <f>1/AY15</f>
        <v>3.577817531</v>
      </c>
      <c r="BA15" s="244">
        <v>0.7989</v>
      </c>
      <c r="BB15" s="221"/>
      <c r="BC15" s="240">
        <f>POWER(10,0.9037)</f>
        <v>8.01124475</v>
      </c>
      <c r="BD15" s="242">
        <v>0.2347</v>
      </c>
      <c r="BE15" s="242">
        <f>1/BD15</f>
        <v>4.260758415</v>
      </c>
      <c r="BF15" s="244">
        <v>0.995</v>
      </c>
      <c r="BG15" s="221"/>
      <c r="BH15" s="230">
        <f>POWER(10,1.1883)</f>
        <v>15.4276579</v>
      </c>
      <c r="BI15" s="232">
        <v>0.0982</v>
      </c>
      <c r="BJ15" s="232">
        <f>1/BI15</f>
        <v>10.18329939</v>
      </c>
      <c r="BK15" s="235">
        <v>0.9935</v>
      </c>
      <c r="BL15" s="226"/>
    </row>
    <row r="16">
      <c r="A16" s="147"/>
      <c r="B16" s="185" t="s">
        <v>283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2"/>
      <c r="Q16" s="147"/>
      <c r="R16" s="147"/>
      <c r="S16" s="147"/>
      <c r="T16" s="147"/>
      <c r="U16" s="147"/>
      <c r="V16" s="147"/>
      <c r="W16" s="147"/>
      <c r="X16" s="147"/>
      <c r="Y16" s="147"/>
      <c r="Z16" s="185" t="s">
        <v>284</v>
      </c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2"/>
      <c r="AO16" s="147"/>
      <c r="AP16" s="147"/>
      <c r="AQ16" s="147"/>
      <c r="AR16" s="147"/>
      <c r="AS16" s="147"/>
      <c r="AT16" s="147"/>
      <c r="AU16" s="147"/>
      <c r="AV16" s="147"/>
      <c r="AW16" s="147"/>
      <c r="AX16" s="185" t="s">
        <v>285</v>
      </c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2"/>
      <c r="BM16" s="147"/>
      <c r="BN16" s="147"/>
      <c r="BO16" s="147"/>
      <c r="BP16" s="147"/>
      <c r="BQ16" s="147"/>
      <c r="BR16" s="147"/>
      <c r="BS16" s="147"/>
      <c r="BT16" s="147"/>
      <c r="BU16" s="147"/>
    </row>
    <row r="17">
      <c r="A17" s="147"/>
      <c r="B17" s="187" t="s">
        <v>229</v>
      </c>
      <c r="C17" s="188"/>
      <c r="D17" s="188"/>
      <c r="E17" s="188"/>
      <c r="F17" s="189"/>
      <c r="G17" s="187" t="s">
        <v>230</v>
      </c>
      <c r="H17" s="188"/>
      <c r="I17" s="188"/>
      <c r="J17" s="188"/>
      <c r="K17" s="189"/>
      <c r="L17" s="187" t="s">
        <v>231</v>
      </c>
      <c r="M17" s="188"/>
      <c r="N17" s="188"/>
      <c r="O17" s="188"/>
      <c r="P17" s="189"/>
      <c r="Q17" s="147"/>
      <c r="R17" s="147"/>
      <c r="S17" s="147"/>
      <c r="T17" s="147"/>
      <c r="U17" s="147"/>
      <c r="V17" s="147"/>
      <c r="W17" s="147"/>
      <c r="X17" s="147"/>
      <c r="Y17" s="147"/>
      <c r="Z17" s="187" t="s">
        <v>229</v>
      </c>
      <c r="AA17" s="188"/>
      <c r="AB17" s="188"/>
      <c r="AC17" s="188"/>
      <c r="AD17" s="189"/>
      <c r="AE17" s="187" t="s">
        <v>230</v>
      </c>
      <c r="AF17" s="188"/>
      <c r="AG17" s="188"/>
      <c r="AH17" s="188"/>
      <c r="AI17" s="189"/>
      <c r="AJ17" s="187" t="s">
        <v>231</v>
      </c>
      <c r="AK17" s="188"/>
      <c r="AL17" s="188"/>
      <c r="AM17" s="188"/>
      <c r="AN17" s="189"/>
      <c r="AO17" s="147"/>
      <c r="AP17" s="147"/>
      <c r="AQ17" s="147"/>
      <c r="AR17" s="147"/>
      <c r="AS17" s="147"/>
      <c r="AT17" s="147"/>
      <c r="AU17" s="147"/>
      <c r="AV17" s="147"/>
      <c r="AW17" s="147"/>
      <c r="AX17" s="187" t="s">
        <v>229</v>
      </c>
      <c r="AY17" s="188"/>
      <c r="AZ17" s="188"/>
      <c r="BA17" s="188"/>
      <c r="BB17" s="189"/>
      <c r="BC17" s="187" t="s">
        <v>230</v>
      </c>
      <c r="BD17" s="188"/>
      <c r="BE17" s="188"/>
      <c r="BF17" s="188"/>
      <c r="BG17" s="189"/>
      <c r="BH17" s="187" t="s">
        <v>231</v>
      </c>
      <c r="BI17" s="188"/>
      <c r="BJ17" s="188"/>
      <c r="BK17" s="188"/>
      <c r="BL17" s="189"/>
      <c r="BM17" s="147"/>
      <c r="BN17" s="147"/>
      <c r="BO17" s="147"/>
      <c r="BP17" s="147"/>
      <c r="BQ17" s="147"/>
      <c r="BR17" s="147"/>
      <c r="BS17" s="147"/>
      <c r="BT17" s="147"/>
      <c r="BU17" s="147"/>
    </row>
    <row r="18">
      <c r="A18" s="258" t="s">
        <v>168</v>
      </c>
      <c r="B18" s="166" t="s">
        <v>232</v>
      </c>
      <c r="C18" s="167" t="s">
        <v>233</v>
      </c>
      <c r="D18" s="193" t="s">
        <v>286</v>
      </c>
      <c r="E18" s="193" t="s">
        <v>287</v>
      </c>
      <c r="F18" s="168" t="s">
        <v>171</v>
      </c>
      <c r="G18" s="166" t="s">
        <v>232</v>
      </c>
      <c r="H18" s="167" t="s">
        <v>233</v>
      </c>
      <c r="I18" s="193" t="s">
        <v>286</v>
      </c>
      <c r="J18" s="193" t="s">
        <v>287</v>
      </c>
      <c r="K18" s="168" t="s">
        <v>171</v>
      </c>
      <c r="L18" s="166" t="s">
        <v>232</v>
      </c>
      <c r="M18" s="167" t="s">
        <v>233</v>
      </c>
      <c r="N18" s="193" t="s">
        <v>286</v>
      </c>
      <c r="O18" s="193" t="s">
        <v>287</v>
      </c>
      <c r="P18" s="168" t="s">
        <v>171</v>
      </c>
      <c r="Y18" s="258" t="s">
        <v>168</v>
      </c>
      <c r="Z18" s="166" t="s">
        <v>232</v>
      </c>
      <c r="AA18" s="167" t="s">
        <v>233</v>
      </c>
      <c r="AB18" s="193" t="s">
        <v>286</v>
      </c>
      <c r="AC18" s="193" t="s">
        <v>287</v>
      </c>
      <c r="AD18" s="168" t="s">
        <v>171</v>
      </c>
      <c r="AE18" s="166" t="s">
        <v>232</v>
      </c>
      <c r="AF18" s="167" t="s">
        <v>233</v>
      </c>
      <c r="AG18" s="193" t="s">
        <v>286</v>
      </c>
      <c r="AH18" s="193" t="s">
        <v>287</v>
      </c>
      <c r="AI18" s="168" t="s">
        <v>171</v>
      </c>
      <c r="AJ18" s="166" t="s">
        <v>232</v>
      </c>
      <c r="AK18" s="167" t="s">
        <v>233</v>
      </c>
      <c r="AL18" s="193" t="s">
        <v>286</v>
      </c>
      <c r="AM18" s="193" t="s">
        <v>287</v>
      </c>
      <c r="AN18" s="168" t="s">
        <v>171</v>
      </c>
      <c r="AW18" s="259" t="s">
        <v>168</v>
      </c>
      <c r="AX18" s="166" t="s">
        <v>232</v>
      </c>
      <c r="AY18" s="167" t="s">
        <v>233</v>
      </c>
      <c r="AZ18" s="73">
        <v>57.479141835518476</v>
      </c>
      <c r="BA18" s="193" t="s">
        <v>287</v>
      </c>
      <c r="BB18" s="168" t="s">
        <v>171</v>
      </c>
      <c r="BC18" s="166" t="s">
        <v>232</v>
      </c>
      <c r="BD18" s="167" t="s">
        <v>233</v>
      </c>
      <c r="BE18" s="193" t="s">
        <v>286</v>
      </c>
      <c r="BF18" s="193" t="s">
        <v>287</v>
      </c>
      <c r="BG18" s="168" t="s">
        <v>171</v>
      </c>
      <c r="BH18" s="166" t="s">
        <v>232</v>
      </c>
      <c r="BI18" s="167" t="s">
        <v>233</v>
      </c>
      <c r="BJ18" s="193" t="s">
        <v>286</v>
      </c>
      <c r="BK18" s="193" t="s">
        <v>287</v>
      </c>
      <c r="BL18" s="168" t="s">
        <v>171</v>
      </c>
    </row>
    <row r="19">
      <c r="A19" s="196">
        <v>100.0</v>
      </c>
      <c r="B19" s="197">
        <v>1.01</v>
      </c>
      <c r="C19" s="14">
        <v>17.91</v>
      </c>
      <c r="D19" s="11">
        <f t="shared" ref="D19:E19" si="19">LOG(B19)</f>
        <v>0.004321373783</v>
      </c>
      <c r="E19" s="11">
        <f t="shared" si="19"/>
        <v>1.253095586</v>
      </c>
      <c r="F19" s="260">
        <f t="shared" ref="F19:F22" si="29">$B$15*((B19)^$C$15)</f>
        <v>20.50661584</v>
      </c>
      <c r="G19" s="198">
        <v>3.4302741358760427</v>
      </c>
      <c r="H19" s="199">
        <v>17.421533571712352</v>
      </c>
      <c r="I19" s="11">
        <f t="shared" ref="I19:J19" si="20">LOG(G19)</f>
        <v>0.5353288288</v>
      </c>
      <c r="J19" s="11">
        <f t="shared" si="20"/>
        <v>1.241086382</v>
      </c>
      <c r="K19" s="260">
        <f t="shared" ref="K19:K22" si="31">$G$15*((G19)^$H$15)</f>
        <v>17.02473206</v>
      </c>
      <c r="L19" s="151">
        <v>14.455303933253873</v>
      </c>
      <c r="M19" s="11">
        <v>15.216527612236789</v>
      </c>
      <c r="N19" s="11">
        <f t="shared" ref="N19:O19" si="21">LOG(L19)</f>
        <v>1.160027227</v>
      </c>
      <c r="O19" s="11">
        <f t="shared" si="21"/>
        <v>1.182315558</v>
      </c>
      <c r="P19" s="260">
        <f t="shared" ref="P19:P22" si="33">$L$15*((L19)^$M$15)</f>
        <v>15.93151075</v>
      </c>
      <c r="Y19" s="203">
        <v>100.0</v>
      </c>
      <c r="Z19" s="198">
        <v>1.05</v>
      </c>
      <c r="AA19" s="199">
        <v>17.9</v>
      </c>
      <c r="AB19" s="11">
        <f t="shared" ref="AB19:AC19" si="22">LOG(Z19)</f>
        <v>0.02118929907</v>
      </c>
      <c r="AC19" s="11">
        <f t="shared" si="22"/>
        <v>1.252853031</v>
      </c>
      <c r="AD19" s="263">
        <f t="shared" ref="AD19:AD22" si="35">$Z$15*((Z19)^$AA$15)</f>
        <v>18.81302503</v>
      </c>
      <c r="AE19" s="198">
        <v>1.03</v>
      </c>
      <c r="AF19" s="199">
        <v>17.9</v>
      </c>
      <c r="AG19" s="11">
        <f t="shared" ref="AG19:AH19" si="23">LOG(AE19)</f>
        <v>0.01283722471</v>
      </c>
      <c r="AH19" s="11">
        <f t="shared" si="23"/>
        <v>1.252853031</v>
      </c>
      <c r="AI19" s="264">
        <f t="shared" ref="AI19:AI22" si="37">$AE$15*((AE19)^$AF$15)</f>
        <v>19.01159408</v>
      </c>
      <c r="AJ19" s="198">
        <v>5.79141835518474</v>
      </c>
      <c r="AK19" s="199">
        <v>16.9493047278506</v>
      </c>
      <c r="AL19" s="11">
        <f t="shared" ref="AL19:AM19" si="24">LOG(AJ19)</f>
        <v>0.7627849382</v>
      </c>
      <c r="AM19" s="11">
        <f t="shared" si="24"/>
        <v>1.229151888</v>
      </c>
      <c r="AN19" s="260">
        <f t="shared" ref="AN19:AN22" si="39">$AJ$15*((AJ19)^$AK$15)</f>
        <v>19.44381354</v>
      </c>
      <c r="AW19" s="203">
        <v>100.0</v>
      </c>
      <c r="AX19" s="151">
        <v>1.7914183551847436</v>
      </c>
      <c r="AY19" s="11">
        <v>17.749304727850614</v>
      </c>
      <c r="AZ19" s="11">
        <f t="shared" ref="AZ19:BA19" si="25">LOG(AX19)</f>
        <v>0.2531970198</v>
      </c>
      <c r="BA19" s="11">
        <f t="shared" si="25"/>
        <v>1.249181346</v>
      </c>
      <c r="BB19" s="264">
        <f t="shared" ref="BB19:BB22" si="41">$AX$15*((AX19)^$AY$15)</f>
        <v>22.73361847</v>
      </c>
      <c r="BC19" s="198">
        <v>14.902264600715139</v>
      </c>
      <c r="BD19" s="199">
        <v>15.127135478744535</v>
      </c>
      <c r="BE19" s="11">
        <f t="shared" ref="BE19:BF19" si="26">LOG(BC19)</f>
        <v>1.17325227</v>
      </c>
      <c r="BF19" s="11">
        <f t="shared" si="26"/>
        <v>1.179756696</v>
      </c>
      <c r="BG19" s="264">
        <f t="shared" ref="BG19:BG22" si="43">$BC$15*((BC19)^$BD$15)</f>
        <v>15.1029682</v>
      </c>
      <c r="BH19" s="151">
        <v>3.4302741358760436</v>
      </c>
      <c r="BI19" s="11">
        <v>17.421533571712352</v>
      </c>
      <c r="BJ19" s="11">
        <f t="shared" ref="BJ19:BK19" si="27">LOG(BH19)</f>
        <v>0.5353288288</v>
      </c>
      <c r="BK19" s="11">
        <f t="shared" si="27"/>
        <v>1.241086382</v>
      </c>
      <c r="BL19" s="264">
        <f t="shared" ref="BL19:BL22" si="45">$BH$15*((BH19)^$BI$15)</f>
        <v>17.41282723</v>
      </c>
    </row>
    <row r="20">
      <c r="A20" s="196">
        <v>200.0</v>
      </c>
      <c r="B20" s="151">
        <v>4.32419547079857</v>
      </c>
      <c r="C20" s="11">
        <v>38.77632101708383</v>
      </c>
      <c r="D20" s="11">
        <f t="shared" ref="D20:E20" si="28">LOG(B20)</f>
        <v>0.6359053176</v>
      </c>
      <c r="E20" s="11">
        <f t="shared" si="28"/>
        <v>1.588566602</v>
      </c>
      <c r="F20" s="260">
        <f t="shared" si="29"/>
        <v>30.64789416</v>
      </c>
      <c r="G20" s="198">
        <v>77.77473182359952</v>
      </c>
      <c r="H20" s="199">
        <v>24.08621374652364</v>
      </c>
      <c r="I20" s="11">
        <f t="shared" ref="I20:J20" si="30">LOG(G20)</f>
        <v>1.890838522</v>
      </c>
      <c r="J20" s="11">
        <f t="shared" si="30"/>
        <v>1.381768536</v>
      </c>
      <c r="K20" s="260">
        <f t="shared" si="31"/>
        <v>26.66874504</v>
      </c>
      <c r="L20" s="151">
        <v>77.17878426698451</v>
      </c>
      <c r="M20" s="11">
        <v>24.20540325784664</v>
      </c>
      <c r="N20" s="11">
        <f t="shared" ref="N20:O20" si="32">LOG(L20)</f>
        <v>1.887497933</v>
      </c>
      <c r="O20" s="11">
        <f t="shared" si="32"/>
        <v>1.383912322</v>
      </c>
      <c r="P20" s="260">
        <f t="shared" si="33"/>
        <v>21.61733354</v>
      </c>
      <c r="Y20" s="203">
        <v>200.0</v>
      </c>
      <c r="Z20" s="151">
        <v>5.814064362336113</v>
      </c>
      <c r="AA20" s="11">
        <v>38.47834723877632</v>
      </c>
      <c r="AB20" s="11">
        <f t="shared" ref="AB20:AC20" si="34">LOG(Z20)</f>
        <v>0.7644798351</v>
      </c>
      <c r="AC20" s="11">
        <f t="shared" si="34"/>
        <v>1.58521641</v>
      </c>
      <c r="AD20" s="263">
        <f t="shared" si="35"/>
        <v>34.36346128</v>
      </c>
      <c r="AE20" s="151">
        <v>16.392133492252682</v>
      </c>
      <c r="AF20" s="11">
        <v>36.36273341279301</v>
      </c>
      <c r="AG20" s="11">
        <f t="shared" ref="AG20:AH20" si="36">LOG(AE20)</f>
        <v>1.214635482</v>
      </c>
      <c r="AH20" s="11">
        <f t="shared" si="36"/>
        <v>1.560656522</v>
      </c>
      <c r="AI20" s="264">
        <f t="shared" si="37"/>
        <v>32.02117948</v>
      </c>
      <c r="AJ20" s="198">
        <v>19.073897497020262</v>
      </c>
      <c r="AK20" s="210">
        <v>32.25474771553428</v>
      </c>
      <c r="AL20" s="11">
        <f t="shared" ref="AL20:AM20" si="38">LOG(AJ20)</f>
        <v>1.280439444</v>
      </c>
      <c r="AM20" s="11">
        <f t="shared" si="38"/>
        <v>1.508593649</v>
      </c>
      <c r="AN20" s="260">
        <f t="shared" si="39"/>
        <v>25.67429213</v>
      </c>
      <c r="AW20" s="203">
        <v>200.0</v>
      </c>
      <c r="AX20" s="151">
        <v>4.3241954707985695</v>
      </c>
      <c r="AY20" s="11">
        <v>38.77632101708383</v>
      </c>
      <c r="AZ20" s="11">
        <f t="shared" ref="AZ20:BA20" si="40">LOG(AX20)</f>
        <v>0.6359053176</v>
      </c>
      <c r="BA20" s="11">
        <f t="shared" si="40"/>
        <v>1.588566602</v>
      </c>
      <c r="BB20" s="264">
        <f t="shared" si="41"/>
        <v>29.08275443</v>
      </c>
      <c r="BC20" s="198">
        <v>97.14302741358762</v>
      </c>
      <c r="BD20" s="210">
        <v>23.0</v>
      </c>
      <c r="BE20" s="11">
        <f t="shared" ref="BE20:BF20" si="42">LOG(BC20)</f>
        <v>1.987411634</v>
      </c>
      <c r="BF20" s="11">
        <f t="shared" si="42"/>
        <v>1.361727836</v>
      </c>
      <c r="BG20" s="264">
        <f t="shared" si="43"/>
        <v>23.45014381</v>
      </c>
      <c r="BH20" s="151">
        <v>78.8176400476758</v>
      </c>
      <c r="BI20" s="11">
        <v>23.877632101708386</v>
      </c>
      <c r="BJ20" s="11">
        <f t="shared" ref="BJ20:BK20" si="44">LOG(BH20)</f>
        <v>1.896623427</v>
      </c>
      <c r="BK20" s="11">
        <f t="shared" si="44"/>
        <v>1.377991256</v>
      </c>
      <c r="BL20" s="264">
        <f t="shared" si="45"/>
        <v>23.68909232</v>
      </c>
    </row>
    <row r="21" ht="15.75" customHeight="1">
      <c r="A21" s="196">
        <v>300.0</v>
      </c>
      <c r="B21" s="151">
        <v>32.33373063170441</v>
      </c>
      <c r="C21" s="11">
        <v>48.013508144616594</v>
      </c>
      <c r="D21" s="11">
        <f t="shared" ref="D21:E21" si="46">LOG(B21)</f>
        <v>1.509655816</v>
      </c>
      <c r="E21" s="11">
        <f t="shared" si="46"/>
        <v>1.681363439</v>
      </c>
      <c r="F21" s="260">
        <f t="shared" si="29"/>
        <v>53.43402655</v>
      </c>
      <c r="G21" s="198">
        <v>128.2812872467223</v>
      </c>
      <c r="H21" s="199">
        <v>28.823996821613022</v>
      </c>
      <c r="I21" s="11">
        <f t="shared" ref="I21:J21" si="47">LOG(G21)</f>
        <v>2.108163309</v>
      </c>
      <c r="J21" s="11">
        <f t="shared" si="47"/>
        <v>1.459754201</v>
      </c>
      <c r="K21" s="260">
        <f t="shared" si="31"/>
        <v>28.65852827</v>
      </c>
      <c r="L21" s="151">
        <v>150.1823599523242</v>
      </c>
      <c r="M21" s="11">
        <v>24.4437822804926</v>
      </c>
      <c r="N21" s="11">
        <f t="shared" ref="N21:O21" si="48">LOG(L21)</f>
        <v>2.176618925</v>
      </c>
      <c r="O21" s="11">
        <f t="shared" si="48"/>
        <v>1.388168407</v>
      </c>
      <c r="P21" s="260">
        <f t="shared" si="33"/>
        <v>24.40506496</v>
      </c>
      <c r="Y21" s="203">
        <v>300.0</v>
      </c>
      <c r="Z21" s="151">
        <v>26.67222884386174</v>
      </c>
      <c r="AA21" s="11">
        <v>52.0</v>
      </c>
      <c r="AB21" s="11">
        <f t="shared" ref="AB21:AC21" si="49">LOG(Z21)</f>
        <v>1.426059309</v>
      </c>
      <c r="AC21" s="11">
        <f t="shared" si="49"/>
        <v>1.716003344</v>
      </c>
      <c r="AD21" s="263">
        <f t="shared" si="35"/>
        <v>58.74526627</v>
      </c>
      <c r="AE21" s="151">
        <v>61.68414779499404</v>
      </c>
      <c r="AF21" s="11">
        <v>42.14342471195867</v>
      </c>
      <c r="AG21" s="11">
        <f t="shared" ref="AG21:AH21" si="50">LOG(AE21)</f>
        <v>1.790173569</v>
      </c>
      <c r="AH21" s="11">
        <f t="shared" si="50"/>
        <v>1.624729825</v>
      </c>
      <c r="AI21" s="264">
        <f t="shared" si="37"/>
        <v>41.10254376</v>
      </c>
      <c r="AJ21" s="198">
        <v>111.127532777116</v>
      </c>
      <c r="AK21" s="211">
        <v>35.83</v>
      </c>
      <c r="AL21" s="11">
        <f t="shared" ref="AL21:AM21" si="51">LOG(AJ21)</f>
        <v>2.045821672</v>
      </c>
      <c r="AM21" s="11">
        <f t="shared" si="51"/>
        <v>1.554246808</v>
      </c>
      <c r="AN21" s="260">
        <f t="shared" si="39"/>
        <v>38.72448172</v>
      </c>
      <c r="AW21" s="203">
        <v>300.0</v>
      </c>
      <c r="AX21" s="151">
        <v>22.351609058402857</v>
      </c>
      <c r="AY21" s="11">
        <v>50.00993245927691</v>
      </c>
      <c r="AZ21" s="11">
        <f t="shared" ref="AZ21:BA21" si="52">LOG(AX21)</f>
        <v>1.349308793</v>
      </c>
      <c r="BA21" s="11">
        <f t="shared" si="52"/>
        <v>1.699056268</v>
      </c>
      <c r="BB21" s="264">
        <f t="shared" si="41"/>
        <v>46.02902839</v>
      </c>
      <c r="BC21" s="198">
        <v>141.0</v>
      </c>
      <c r="BD21" s="199">
        <v>26.28025427095748</v>
      </c>
      <c r="BE21" s="11">
        <f t="shared" ref="BE21:BF21" si="53">LOG(BC21)</f>
        <v>2.149219113</v>
      </c>
      <c r="BF21" s="11">
        <f t="shared" si="53"/>
        <v>1.419629563</v>
      </c>
      <c r="BG21" s="264">
        <f t="shared" si="43"/>
        <v>25.59303118</v>
      </c>
      <c r="BH21" s="151">
        <v>148.99046483909416</v>
      </c>
      <c r="BI21" s="11">
        <v>24.68216130313865</v>
      </c>
      <c r="BJ21" s="11">
        <f t="shared" ref="BJ21:BK21" si="54">LOG(BH21)</f>
        <v>2.173158475</v>
      </c>
      <c r="BK21" s="11">
        <f t="shared" si="54"/>
        <v>1.392383186</v>
      </c>
      <c r="BL21" s="264">
        <f t="shared" si="45"/>
        <v>25.21762384</v>
      </c>
    </row>
    <row r="22" ht="15.75" customHeight="1">
      <c r="A22" s="212">
        <v>400.0</v>
      </c>
      <c r="B22" s="213">
        <v>54.085816448152556</v>
      </c>
      <c r="C22" s="214">
        <v>62.038140643623365</v>
      </c>
      <c r="D22" s="11">
        <f t="shared" ref="D22:E22" si="55">LOG(B22)</f>
        <v>1.73308339</v>
      </c>
      <c r="E22" s="11">
        <f t="shared" si="55"/>
        <v>1.792658773</v>
      </c>
      <c r="F22" s="260">
        <f t="shared" si="29"/>
        <v>61.59577737</v>
      </c>
      <c r="G22" s="215">
        <v>200.0</v>
      </c>
      <c r="H22" s="210">
        <v>32.86</v>
      </c>
      <c r="I22" s="11">
        <f t="shared" ref="I22:J22" si="56">LOG(G22)</f>
        <v>2.301029996</v>
      </c>
      <c r="J22" s="11">
        <f t="shared" si="56"/>
        <v>1.516667559</v>
      </c>
      <c r="K22" s="260">
        <f t="shared" si="31"/>
        <v>30.54837501</v>
      </c>
      <c r="L22" s="213">
        <v>240.17044100119188</v>
      </c>
      <c r="M22" s="214">
        <v>24.8212157330155</v>
      </c>
      <c r="N22" s="11">
        <f t="shared" ref="N22:O22" si="57">LOG(L22)</f>
        <v>2.380519556</v>
      </c>
      <c r="O22" s="11">
        <f t="shared" si="57"/>
        <v>1.394823049</v>
      </c>
      <c r="P22" s="267">
        <f t="shared" si="33"/>
        <v>26.58463262</v>
      </c>
      <c r="Y22" s="216">
        <v>400.0</v>
      </c>
      <c r="Z22" s="217">
        <v>32.0</v>
      </c>
      <c r="AA22" s="218">
        <v>66.46</v>
      </c>
      <c r="AB22" s="153">
        <f t="shared" ref="AB22:AC22" si="58">LOG(Z22)</f>
        <v>1.505149978</v>
      </c>
      <c r="AC22" s="153">
        <f t="shared" si="58"/>
        <v>1.822560337</v>
      </c>
      <c r="AD22" s="268">
        <f t="shared" si="35"/>
        <v>62.63438138</v>
      </c>
      <c r="AE22" s="219">
        <v>144.22288438617403</v>
      </c>
      <c r="AF22" s="214">
        <v>44.01072705601908</v>
      </c>
      <c r="AG22" s="11">
        <f t="shared" ref="AG22:AH22" si="59">LOG(AE22)</f>
        <v>2.159034177</v>
      </c>
      <c r="AH22" s="11">
        <f t="shared" si="59"/>
        <v>1.643558543</v>
      </c>
      <c r="AI22" s="264">
        <f t="shared" si="37"/>
        <v>48.23497291</v>
      </c>
      <c r="AJ22" s="219">
        <v>150.0</v>
      </c>
      <c r="AK22" s="210">
        <v>41.0</v>
      </c>
      <c r="AL22" s="11">
        <f t="shared" ref="AL22:AM22" si="60">LOG(AJ22)</f>
        <v>2.176091259</v>
      </c>
      <c r="AM22" s="11">
        <f t="shared" si="60"/>
        <v>1.612783857</v>
      </c>
      <c r="AN22" s="260">
        <f t="shared" si="39"/>
        <v>41.5302439</v>
      </c>
      <c r="AW22" s="216">
        <v>400.0</v>
      </c>
      <c r="AX22" s="219">
        <v>76.880810488677</v>
      </c>
      <c r="AY22" s="214">
        <v>57.479141835518476</v>
      </c>
      <c r="AZ22" s="11">
        <f t="shared" ref="AZ22:BA22" si="61">LOG(AX22)</f>
        <v>1.885817953</v>
      </c>
      <c r="BA22" s="11">
        <f t="shared" si="61"/>
        <v>1.759510275</v>
      </c>
      <c r="BB22" s="270">
        <f t="shared" si="41"/>
        <v>65.01089094</v>
      </c>
      <c r="BC22" s="219">
        <v>214.5</v>
      </c>
      <c r="BD22" s="220">
        <v>28.0</v>
      </c>
      <c r="BE22" s="11">
        <f t="shared" ref="BE22:BF22" si="62">LOG(BC22)</f>
        <v>2.331427297</v>
      </c>
      <c r="BF22" s="11">
        <f t="shared" si="62"/>
        <v>1.447158031</v>
      </c>
      <c r="BG22" s="264">
        <f t="shared" si="43"/>
        <v>28.24138468</v>
      </c>
      <c r="BH22" s="152">
        <v>249.8545887961859</v>
      </c>
      <c r="BI22" s="153">
        <v>26.8843861740167</v>
      </c>
      <c r="BJ22" s="11">
        <f t="shared" ref="BJ22:BK22" si="63">LOG(BH22)</f>
        <v>2.39768733</v>
      </c>
      <c r="BK22" s="11">
        <f t="shared" si="63"/>
        <v>1.429500125</v>
      </c>
      <c r="BL22" s="264">
        <f t="shared" si="45"/>
        <v>26.53095578</v>
      </c>
    </row>
    <row r="23" ht="15.75" customHeight="1">
      <c r="A23" s="5"/>
      <c r="B23" s="141"/>
      <c r="C23" s="141"/>
      <c r="D23" s="141"/>
      <c r="E23" s="141"/>
      <c r="G23" s="141"/>
      <c r="H23" s="141"/>
      <c r="I23" s="65"/>
      <c r="J23" s="65"/>
      <c r="L23" s="141"/>
      <c r="M23" s="141"/>
      <c r="N23" s="65"/>
      <c r="O23" s="65"/>
      <c r="P23" s="65"/>
      <c r="Y23" s="5"/>
      <c r="Z23" s="141"/>
      <c r="AA23" s="141"/>
      <c r="AB23" s="65"/>
      <c r="AC23" s="65"/>
      <c r="AE23" s="141"/>
      <c r="AF23" s="141"/>
      <c r="AG23" s="65"/>
      <c r="AH23" s="65"/>
      <c r="AJ23" s="141"/>
      <c r="AK23" s="141"/>
      <c r="AL23" s="65"/>
      <c r="AM23" s="65"/>
      <c r="AN23" s="65"/>
      <c r="AW23" s="5"/>
      <c r="AX23" s="141"/>
      <c r="AY23" s="141"/>
      <c r="AZ23" s="65"/>
      <c r="BA23" s="65"/>
      <c r="BC23" s="141"/>
      <c r="BD23" s="141"/>
      <c r="BE23" s="65"/>
      <c r="BF23" s="65"/>
      <c r="BH23" s="141"/>
      <c r="BI23" s="141"/>
      <c r="BJ23" s="65"/>
      <c r="BK23" s="65"/>
    </row>
    <row r="24" ht="15.75" customHeight="1">
      <c r="A24" s="5"/>
      <c r="B24" s="141"/>
      <c r="C24" s="141"/>
      <c r="D24" s="141"/>
      <c r="E24" s="141"/>
      <c r="G24" s="141"/>
      <c r="H24" s="141"/>
      <c r="I24" s="65"/>
      <c r="J24" s="65"/>
      <c r="L24" s="141"/>
      <c r="M24" s="141"/>
      <c r="N24" s="65"/>
      <c r="O24" s="65"/>
      <c r="P24" s="65"/>
      <c r="Y24" s="5"/>
      <c r="Z24" s="141"/>
      <c r="AA24" s="141"/>
      <c r="AB24" s="65"/>
      <c r="AC24" s="65"/>
      <c r="AE24" s="141"/>
      <c r="AF24" s="141"/>
      <c r="AG24" s="65"/>
      <c r="AH24" s="65"/>
      <c r="AJ24" s="141"/>
      <c r="AK24" s="141"/>
      <c r="AL24" s="65"/>
      <c r="AM24" s="65"/>
      <c r="AN24" s="65"/>
      <c r="AW24" s="5"/>
      <c r="AX24" s="141"/>
      <c r="AY24" s="141"/>
      <c r="AZ24" s="65"/>
      <c r="BA24" s="65"/>
      <c r="BC24" s="141"/>
      <c r="BD24" s="141"/>
      <c r="BE24" s="65"/>
      <c r="BF24" s="65"/>
      <c r="BH24" s="141"/>
      <c r="BI24" s="141"/>
      <c r="BJ24" s="65"/>
      <c r="BK24" s="65"/>
    </row>
    <row r="25" ht="15.75" customHeight="1"/>
    <row r="26" ht="15.75" customHeight="1"/>
    <row r="27" ht="15.75" customHeight="1">
      <c r="B27" s="166" t="s">
        <v>292</v>
      </c>
      <c r="C27" s="167" t="s">
        <v>117</v>
      </c>
      <c r="D27" s="167" t="s">
        <v>293</v>
      </c>
      <c r="E27" s="168" t="s">
        <v>294</v>
      </c>
      <c r="G27" s="166" t="s">
        <v>295</v>
      </c>
      <c r="H27" s="167" t="s">
        <v>117</v>
      </c>
      <c r="I27" s="167" t="s">
        <v>296</v>
      </c>
      <c r="J27" s="168" t="s">
        <v>297</v>
      </c>
      <c r="L27" s="166" t="s">
        <v>298</v>
      </c>
      <c r="M27" s="167" t="s">
        <v>117</v>
      </c>
      <c r="N27" s="167" t="s">
        <v>299</v>
      </c>
      <c r="O27" s="168" t="s">
        <v>300</v>
      </c>
      <c r="P27" s="222"/>
      <c r="Z27" s="166" t="s">
        <v>301</v>
      </c>
      <c r="AA27" s="167" t="s">
        <v>117</v>
      </c>
      <c r="AB27" s="167" t="s">
        <v>302</v>
      </c>
      <c r="AC27" s="168" t="s">
        <v>303</v>
      </c>
      <c r="AE27" s="166" t="s">
        <v>304</v>
      </c>
      <c r="AF27" s="167" t="s">
        <v>117</v>
      </c>
      <c r="AG27" s="167" t="s">
        <v>305</v>
      </c>
      <c r="AH27" s="168" t="s">
        <v>306</v>
      </c>
      <c r="AJ27" s="166" t="s">
        <v>307</v>
      </c>
      <c r="AK27" s="167" t="s">
        <v>117</v>
      </c>
      <c r="AL27" s="167" t="s">
        <v>308</v>
      </c>
      <c r="AM27" s="168" t="s">
        <v>309</v>
      </c>
      <c r="AN27" s="222"/>
      <c r="AX27" s="166" t="s">
        <v>310</v>
      </c>
      <c r="AY27" s="167" t="s">
        <v>117</v>
      </c>
      <c r="AZ27" s="167" t="s">
        <v>311</v>
      </c>
      <c r="BA27" s="168" t="s">
        <v>312</v>
      </c>
      <c r="BC27" s="166" t="s">
        <v>313</v>
      </c>
      <c r="BD27" s="167" t="s">
        <v>117</v>
      </c>
      <c r="BE27" s="167" t="s">
        <v>314</v>
      </c>
      <c r="BF27" s="168" t="s">
        <v>315</v>
      </c>
      <c r="BH27" s="166" t="s">
        <v>316</v>
      </c>
      <c r="BI27" s="167" t="s">
        <v>117</v>
      </c>
      <c r="BJ27" s="167" t="s">
        <v>317</v>
      </c>
      <c r="BK27" s="168" t="s">
        <v>318</v>
      </c>
    </row>
    <row r="28" ht="15.0" customHeight="1">
      <c r="B28" s="230">
        <f>EXP(19.98/9.7103)</f>
        <v>7.827231964</v>
      </c>
      <c r="C28" s="143">
        <v>9.7103</v>
      </c>
      <c r="D28" s="232">
        <f>($E$35*$E$32)/C28</f>
        <v>246.7152508</v>
      </c>
      <c r="E28" s="235">
        <v>0.9326</v>
      </c>
      <c r="G28" s="227">
        <f>EXP(12.532/3.3716)</f>
        <v>41.13789218</v>
      </c>
      <c r="H28" s="271">
        <v>3.3716</v>
      </c>
      <c r="I28" s="228">
        <f>($E$32*$E$35)/H28</f>
        <v>710.5466544</v>
      </c>
      <c r="J28" s="229">
        <v>0.876</v>
      </c>
      <c r="L28" s="230">
        <f>EXP(6.5581/3.5667)</f>
        <v>6.288373436</v>
      </c>
      <c r="M28" s="143">
        <v>3.5667</v>
      </c>
      <c r="N28" s="232">
        <f>($E$32*$E$35)/M28</f>
        <v>671.6794516</v>
      </c>
      <c r="O28" s="235">
        <v>0.8915</v>
      </c>
      <c r="P28" s="226"/>
      <c r="Z28" s="240">
        <f>EXP(16.942/12.177)</f>
        <v>4.020118938</v>
      </c>
      <c r="AA28" s="272">
        <v>12.177</v>
      </c>
      <c r="AB28" s="242">
        <f>($AC$35*$AC$32)/AA28</f>
        <v>206.9794777</v>
      </c>
      <c r="AC28" s="273">
        <v>0.9078</v>
      </c>
      <c r="AD28" s="10"/>
      <c r="AE28" s="240">
        <f>EXP(18.872/5.4471)</f>
        <v>31.96353878</v>
      </c>
      <c r="AF28" s="272">
        <v>5.4471</v>
      </c>
      <c r="AG28" s="242">
        <f>($AC$35*$AC$32)/AF28</f>
        <v>462.7029245</v>
      </c>
      <c r="AH28" s="235">
        <v>0.9746</v>
      </c>
      <c r="AI28" s="10"/>
      <c r="AJ28" s="240">
        <f>EXP(6.3211/8.7116)</f>
        <v>2.065961545</v>
      </c>
      <c r="AK28" s="272">
        <v>6.3211</v>
      </c>
      <c r="AL28" s="242">
        <f>($AC$35*$AC$32)/AK28</f>
        <v>398.7263451</v>
      </c>
      <c r="AM28" s="274">
        <v>0.8764</v>
      </c>
      <c r="AN28" s="10"/>
      <c r="AX28" s="230">
        <f>EXP(17.758/9.7914)</f>
        <v>6.132683206</v>
      </c>
      <c r="AY28" s="143">
        <v>9.7914</v>
      </c>
      <c r="AZ28" s="232">
        <f>($BA$35*$BA$32)/AY28</f>
        <v>270.1451376</v>
      </c>
      <c r="BA28" s="235">
        <v>0.9015</v>
      </c>
      <c r="BC28" s="240">
        <f>EXP(1.9121/4.8173)</f>
        <v>1.487242282</v>
      </c>
      <c r="BD28" s="272">
        <v>4.8173</v>
      </c>
      <c r="BE28" s="242">
        <f>($BA$35*$BA$32)/BD28</f>
        <v>549.0833247</v>
      </c>
      <c r="BF28" s="244">
        <v>0.9868</v>
      </c>
      <c r="BH28" s="240">
        <f>EXP(14.752/2.0998)</f>
        <v>1124.87927</v>
      </c>
      <c r="BI28" s="242">
        <v>2.0998</v>
      </c>
      <c r="BJ28" s="242">
        <f>($BA$35*$BA$32)/BI28</f>
        <v>1259.690971</v>
      </c>
      <c r="BK28" s="244">
        <v>0.9872</v>
      </c>
    </row>
    <row r="29" ht="15.75" customHeight="1">
      <c r="A29" s="147"/>
      <c r="B29" s="275" t="s">
        <v>319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2"/>
      <c r="P29" s="276"/>
      <c r="Q29" s="147"/>
      <c r="R29" s="147"/>
      <c r="S29" s="147"/>
      <c r="T29" s="147"/>
      <c r="U29" s="147"/>
      <c r="V29" s="147"/>
      <c r="W29" s="147"/>
      <c r="X29" s="147"/>
      <c r="Y29" s="147"/>
      <c r="Z29" s="185" t="s">
        <v>320</v>
      </c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2"/>
      <c r="AN29" s="277"/>
      <c r="AO29" s="147"/>
      <c r="AP29" s="147"/>
      <c r="AQ29" s="147"/>
      <c r="AR29" s="147"/>
      <c r="AS29" s="147"/>
      <c r="AT29" s="147"/>
      <c r="AU29" s="147"/>
      <c r="AV29" s="147"/>
      <c r="AW29" s="147"/>
      <c r="AX29" s="185" t="s">
        <v>321</v>
      </c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2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</row>
    <row r="30" ht="15.75" customHeight="1">
      <c r="A30" s="147"/>
      <c r="B30" s="278" t="s">
        <v>229</v>
      </c>
      <c r="C30" s="188"/>
      <c r="D30" s="189"/>
      <c r="E30" s="147"/>
      <c r="F30" s="147"/>
      <c r="G30" s="279" t="s">
        <v>230</v>
      </c>
      <c r="H30" s="91"/>
      <c r="I30" s="92"/>
      <c r="J30" s="147"/>
      <c r="K30" s="147"/>
      <c r="L30" s="279" t="s">
        <v>231</v>
      </c>
      <c r="M30" s="91"/>
      <c r="N30" s="92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279" t="s">
        <v>229</v>
      </c>
      <c r="AA30" s="91"/>
      <c r="AB30" s="92"/>
      <c r="AC30" s="147"/>
      <c r="AD30" s="147"/>
      <c r="AE30" s="278" t="s">
        <v>230</v>
      </c>
      <c r="AF30" s="188"/>
      <c r="AG30" s="189"/>
      <c r="AH30" s="147"/>
      <c r="AI30" s="147"/>
      <c r="AJ30" s="279" t="s">
        <v>231</v>
      </c>
      <c r="AK30" s="91"/>
      <c r="AL30" s="92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279" t="s">
        <v>229</v>
      </c>
      <c r="AY30" s="91"/>
      <c r="AZ30" s="92"/>
      <c r="BA30" s="147"/>
      <c r="BB30" s="147"/>
      <c r="BC30" s="278" t="s">
        <v>230</v>
      </c>
      <c r="BD30" s="188"/>
      <c r="BE30" s="189"/>
      <c r="BF30" s="147"/>
      <c r="BG30" s="147"/>
      <c r="BH30" s="279" t="s">
        <v>231</v>
      </c>
      <c r="BI30" s="91"/>
      <c r="BJ30" s="92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</row>
    <row r="31" ht="15.75" customHeight="1">
      <c r="A31" s="258" t="s">
        <v>168</v>
      </c>
      <c r="B31" s="166" t="s">
        <v>233</v>
      </c>
      <c r="C31" s="167" t="s">
        <v>323</v>
      </c>
      <c r="D31" s="280" t="s">
        <v>171</v>
      </c>
      <c r="E31" s="280" t="s">
        <v>324</v>
      </c>
      <c r="G31" s="166" t="s">
        <v>233</v>
      </c>
      <c r="H31" s="167" t="s">
        <v>323</v>
      </c>
      <c r="I31" s="168" t="s">
        <v>171</v>
      </c>
      <c r="L31" s="166" t="s">
        <v>233</v>
      </c>
      <c r="M31" s="167" t="s">
        <v>323</v>
      </c>
      <c r="N31" s="168" t="s">
        <v>171</v>
      </c>
      <c r="Y31" s="258" t="s">
        <v>168</v>
      </c>
      <c r="Z31" s="166" t="s">
        <v>233</v>
      </c>
      <c r="AA31" s="167" t="s">
        <v>323</v>
      </c>
      <c r="AB31" s="168" t="s">
        <v>171</v>
      </c>
      <c r="AC31" s="280" t="s">
        <v>324</v>
      </c>
      <c r="AE31" s="166" t="s">
        <v>233</v>
      </c>
      <c r="AF31" s="167" t="s">
        <v>323</v>
      </c>
      <c r="AG31" s="168" t="s">
        <v>171</v>
      </c>
      <c r="AJ31" s="166" t="s">
        <v>233</v>
      </c>
      <c r="AK31" s="167" t="s">
        <v>323</v>
      </c>
      <c r="AL31" s="168" t="s">
        <v>171</v>
      </c>
      <c r="AW31" s="259" t="s">
        <v>168</v>
      </c>
      <c r="AX31" s="166" t="s">
        <v>233</v>
      </c>
      <c r="AY31" s="167" t="s">
        <v>323</v>
      </c>
      <c r="AZ31" s="168" t="s">
        <v>171</v>
      </c>
      <c r="BA31" s="280" t="s">
        <v>324</v>
      </c>
      <c r="BC31" s="166" t="s">
        <v>233</v>
      </c>
      <c r="BD31" s="167" t="s">
        <v>323</v>
      </c>
      <c r="BE31" s="168" t="s">
        <v>171</v>
      </c>
      <c r="BH31" s="166" t="s">
        <v>233</v>
      </c>
      <c r="BI31" s="167" t="s">
        <v>323</v>
      </c>
      <c r="BJ31" s="168" t="s">
        <v>171</v>
      </c>
    </row>
    <row r="32" ht="15.75" customHeight="1">
      <c r="A32" s="196">
        <v>100.0</v>
      </c>
      <c r="B32" s="198">
        <v>17.91</v>
      </c>
      <c r="C32" s="11">
        <f t="shared" ref="C32:C35" si="64">LN(B19)</f>
        <v>0.009950330853</v>
      </c>
      <c r="D32" s="281">
        <f t="shared" ref="D32:D35" si="65">(($E$35*$E$32)/$D$28)*LN($B$28*B19)</f>
        <v>20.0766207</v>
      </c>
      <c r="E32" s="282">
        <v>288.15</v>
      </c>
      <c r="G32" s="199">
        <v>17.421533571712352</v>
      </c>
      <c r="H32" s="11">
        <f t="shared" ref="H32:H35" si="66">LN(G19)</f>
        <v>1.232640181</v>
      </c>
      <c r="I32" s="281">
        <f t="shared" ref="I32:I35" si="67">(($E$35*$E$32)/$I$28)*LN($G$28*G19)</f>
        <v>16.68796963</v>
      </c>
      <c r="L32" s="151">
        <v>15.216527612236789</v>
      </c>
      <c r="M32" s="11">
        <f t="shared" ref="M32:M35" si="68">LN(L19)</f>
        <v>2.671061401</v>
      </c>
      <c r="N32" s="281">
        <f t="shared" ref="N32:N35" si="69">(($E$35*$E$32)/$N$28)*LN($L$28*L19)</f>
        <v>16.0849747</v>
      </c>
      <c r="Y32" s="196">
        <v>100.0</v>
      </c>
      <c r="Z32" s="198">
        <v>17.9</v>
      </c>
      <c r="AA32" s="14">
        <f t="shared" ref="AA32:AA35" si="70">LN(Z19)</f>
        <v>0.04879016417</v>
      </c>
      <c r="AB32" s="283">
        <f t="shared" ref="AB32:AB35" si="71">(($AC$35*$AC$32)/$AB$28)*LN($Z$28*Z19)</f>
        <v>17.53611783</v>
      </c>
      <c r="AC32" s="282">
        <v>303.15</v>
      </c>
      <c r="AE32" s="199">
        <v>17.9</v>
      </c>
      <c r="AF32" s="14">
        <f t="shared" ref="AF32:AF35" si="72">LN(AE19)</f>
        <v>0.02955880224</v>
      </c>
      <c r="AG32" s="284">
        <f t="shared" ref="AG32:AG35" si="73">(($AC$35*$AC$32)/$AG$28)*LN($AE$28*AE19)</f>
        <v>19.03300975</v>
      </c>
      <c r="AJ32" s="199">
        <v>16.9493047278506</v>
      </c>
      <c r="AK32" s="14">
        <f t="shared" ref="AK32:AK35" si="74">LN(AJ19)</f>
        <v>1.756377228</v>
      </c>
      <c r="AL32" s="281">
        <f t="shared" ref="AL32:AL35" si="75">(($AC$35*$AC$32)/$AL$28)*LN($AJ$28*AJ19)</f>
        <v>15.68879944</v>
      </c>
      <c r="AW32" s="203">
        <v>100.0</v>
      </c>
      <c r="AX32" s="151">
        <v>17.749304727850614</v>
      </c>
      <c r="AY32" s="199">
        <f t="shared" ref="AY32:AY35" si="76">LN(AX19)</f>
        <v>0.5830076833</v>
      </c>
      <c r="AZ32" s="284">
        <f t="shared" ref="AZ32:AZ35" si="77">(($BA$35*$BA$32)/$AZ$28)*LN($AX$28*AX19)</f>
        <v>23.46646143</v>
      </c>
      <c r="BA32" s="282">
        <v>318.15</v>
      </c>
      <c r="BC32" s="199">
        <v>15.127135478744535</v>
      </c>
      <c r="BD32" s="199">
        <f t="shared" ref="BD32:BD35" si="78">LN(BC19)</f>
        <v>2.701513188</v>
      </c>
      <c r="BE32" s="281">
        <f t="shared" ref="BE32:BE35" si="79">(($BA$35*$BA$32)/$BE$28)*LN($BC$28*BC19)</f>
        <v>14.92609948</v>
      </c>
      <c r="BH32" s="151">
        <v>17.421533571712352</v>
      </c>
      <c r="BI32" s="199">
        <f t="shared" ref="BI32:BI35" si="80">LN(BH19)</f>
        <v>1.232640181</v>
      </c>
      <c r="BJ32" s="284">
        <f t="shared" ref="BJ32:BJ35" si="81">(($BA$35*$BA$32)/$BJ$28)*LN($BH$28*BH19)</f>
        <v>17.34029785</v>
      </c>
    </row>
    <row r="33" ht="15.75" customHeight="1">
      <c r="A33" s="196">
        <v>200.0</v>
      </c>
      <c r="B33" s="151">
        <v>38.77632101708383</v>
      </c>
      <c r="C33" s="11">
        <f t="shared" si="64"/>
        <v>1.464226105</v>
      </c>
      <c r="D33" s="281">
        <f t="shared" si="65"/>
        <v>34.19807475</v>
      </c>
      <c r="G33" s="199">
        <v>24.08621374652364</v>
      </c>
      <c r="H33" s="11">
        <f t="shared" si="66"/>
        <v>4.353816595</v>
      </c>
      <c r="I33" s="281">
        <f t="shared" si="67"/>
        <v>27.21132803</v>
      </c>
      <c r="L33" s="151">
        <v>24.20540325784664</v>
      </c>
      <c r="M33" s="11">
        <f t="shared" si="68"/>
        <v>4.346124604</v>
      </c>
      <c r="N33" s="281">
        <f t="shared" si="69"/>
        <v>22.05942263</v>
      </c>
      <c r="Y33" s="196">
        <v>200.0</v>
      </c>
      <c r="Z33" s="151">
        <v>38.47834723877632</v>
      </c>
      <c r="AA33" s="14">
        <f t="shared" si="70"/>
        <v>1.760279872</v>
      </c>
      <c r="AB33" s="283">
        <f t="shared" si="71"/>
        <v>38.37692801</v>
      </c>
      <c r="AE33" s="151">
        <v>36.36273341279301</v>
      </c>
      <c r="AF33" s="14">
        <f t="shared" si="72"/>
        <v>2.796801555</v>
      </c>
      <c r="AG33" s="284">
        <f t="shared" si="73"/>
        <v>34.10645775</v>
      </c>
      <c r="AJ33" s="210">
        <v>32.25474771553428</v>
      </c>
      <c r="AK33" s="14">
        <f t="shared" si="74"/>
        <v>2.948320777</v>
      </c>
      <c r="AL33" s="281">
        <f t="shared" si="75"/>
        <v>23.22319381</v>
      </c>
      <c r="AW33" s="203">
        <v>200.0</v>
      </c>
      <c r="AX33" s="151">
        <v>38.77632101708383</v>
      </c>
      <c r="AY33" s="199">
        <f t="shared" si="76"/>
        <v>1.464226105</v>
      </c>
      <c r="AZ33" s="284">
        <f t="shared" si="77"/>
        <v>32.09482348</v>
      </c>
      <c r="BC33" s="210">
        <v>23.0</v>
      </c>
      <c r="BD33" s="199">
        <f t="shared" si="78"/>
        <v>4.576184402</v>
      </c>
      <c r="BE33" s="281">
        <f t="shared" si="79"/>
        <v>23.95695312</v>
      </c>
      <c r="BH33" s="151">
        <v>23.877632101708386</v>
      </c>
      <c r="BI33" s="199">
        <f t="shared" si="80"/>
        <v>4.36713683</v>
      </c>
      <c r="BJ33" s="284">
        <f t="shared" si="81"/>
        <v>23.92211392</v>
      </c>
    </row>
    <row r="34" ht="15.75" customHeight="1">
      <c r="A34" s="196">
        <v>300.0</v>
      </c>
      <c r="B34" s="151">
        <v>48.013508144616594</v>
      </c>
      <c r="C34" s="11">
        <f t="shared" si="64"/>
        <v>3.476110977</v>
      </c>
      <c r="D34" s="281">
        <f t="shared" si="65"/>
        <v>53.73408042</v>
      </c>
      <c r="E34" s="285" t="s">
        <v>325</v>
      </c>
      <c r="G34" s="199">
        <v>28.823996821613022</v>
      </c>
      <c r="H34" s="11">
        <f t="shared" si="66"/>
        <v>4.854225409</v>
      </c>
      <c r="I34" s="281">
        <f t="shared" si="67"/>
        <v>28.89850639</v>
      </c>
      <c r="L34" s="151">
        <v>24.4437822804926</v>
      </c>
      <c r="M34" s="11">
        <f t="shared" si="68"/>
        <v>5.011850289</v>
      </c>
      <c r="N34" s="281">
        <f t="shared" si="69"/>
        <v>24.43386642</v>
      </c>
      <c r="Y34" s="196">
        <v>300.0</v>
      </c>
      <c r="Z34" s="151">
        <v>49.14580850218513</v>
      </c>
      <c r="AA34" s="14">
        <f t="shared" si="70"/>
        <v>3.283622906</v>
      </c>
      <c r="AB34" s="283">
        <f t="shared" si="71"/>
        <v>56.92667613</v>
      </c>
      <c r="AC34" s="280" t="s">
        <v>325</v>
      </c>
      <c r="AE34" s="151">
        <v>42.14342471195867</v>
      </c>
      <c r="AF34" s="14">
        <f t="shared" si="72"/>
        <v>4.122026974</v>
      </c>
      <c r="AG34" s="284">
        <f t="shared" si="73"/>
        <v>41.32509313</v>
      </c>
      <c r="AJ34" s="211">
        <v>35.83</v>
      </c>
      <c r="AK34" s="14">
        <f t="shared" si="74"/>
        <v>4.710678486</v>
      </c>
      <c r="AL34" s="281">
        <f t="shared" si="75"/>
        <v>34.36323312</v>
      </c>
      <c r="AW34" s="203">
        <v>300.0</v>
      </c>
      <c r="AX34" s="151">
        <v>50.00993245927691</v>
      </c>
      <c r="AY34" s="199">
        <f t="shared" si="76"/>
        <v>3.106898312</v>
      </c>
      <c r="AZ34" s="284">
        <f t="shared" si="77"/>
        <v>48.17888413</v>
      </c>
      <c r="BA34" s="280" t="s">
        <v>325</v>
      </c>
      <c r="BC34" s="199">
        <v>26.28025427095748</v>
      </c>
      <c r="BD34" s="199">
        <f t="shared" si="78"/>
        <v>4.94875989</v>
      </c>
      <c r="BE34" s="281">
        <f t="shared" si="79"/>
        <v>25.75176102</v>
      </c>
      <c r="BH34" s="151">
        <v>24.68216130313865</v>
      </c>
      <c r="BI34" s="199">
        <f t="shared" si="80"/>
        <v>5.00388231</v>
      </c>
      <c r="BJ34" s="284">
        <f t="shared" si="81"/>
        <v>25.25915207</v>
      </c>
    </row>
    <row r="35" ht="15.75" customHeight="1">
      <c r="A35" s="212">
        <v>400.0</v>
      </c>
      <c r="B35" s="213">
        <v>62.038140643623365</v>
      </c>
      <c r="C35" s="11">
        <f t="shared" si="64"/>
        <v>3.990571979</v>
      </c>
      <c r="D35" s="281">
        <f t="shared" si="65"/>
        <v>58.72965108</v>
      </c>
      <c r="E35" s="286">
        <v>8.314</v>
      </c>
      <c r="G35" s="210">
        <v>32.86</v>
      </c>
      <c r="H35" s="156">
        <f t="shared" si="66"/>
        <v>5.298317367</v>
      </c>
      <c r="I35" s="281">
        <f t="shared" si="67"/>
        <v>30.39580683</v>
      </c>
      <c r="L35" s="213">
        <v>24.8212157330155</v>
      </c>
      <c r="M35" s="11">
        <f t="shared" si="68"/>
        <v>5.481348842</v>
      </c>
      <c r="N35" s="281">
        <f t="shared" si="69"/>
        <v>26.10842692</v>
      </c>
      <c r="Y35" s="212">
        <v>400.0</v>
      </c>
      <c r="Z35" s="218">
        <v>66.46</v>
      </c>
      <c r="AA35" s="14">
        <f t="shared" si="70"/>
        <v>3.465735903</v>
      </c>
      <c r="AB35" s="283">
        <f t="shared" si="71"/>
        <v>59.14426609</v>
      </c>
      <c r="AC35" s="287">
        <v>8.314</v>
      </c>
      <c r="AE35" s="213">
        <v>44.01072705601908</v>
      </c>
      <c r="AF35" s="14">
        <f t="shared" si="72"/>
        <v>4.971359911</v>
      </c>
      <c r="AG35" s="284">
        <f t="shared" si="73"/>
        <v>45.95149457</v>
      </c>
      <c r="AJ35" s="210">
        <v>41.0</v>
      </c>
      <c r="AK35" s="14">
        <f t="shared" si="74"/>
        <v>5.010635294</v>
      </c>
      <c r="AL35" s="281">
        <f t="shared" si="75"/>
        <v>36.2592901</v>
      </c>
      <c r="AW35" s="216">
        <v>400.0</v>
      </c>
      <c r="AX35" s="213">
        <v>57.479141835518476</v>
      </c>
      <c r="AY35" s="199">
        <f t="shared" si="76"/>
        <v>4.342256307</v>
      </c>
      <c r="AZ35" s="288">
        <f t="shared" si="77"/>
        <v>60.2747684</v>
      </c>
      <c r="BA35" s="287">
        <v>8.314</v>
      </c>
      <c r="BC35" s="220">
        <v>28.0</v>
      </c>
      <c r="BD35" s="199">
        <f t="shared" si="78"/>
        <v>5.368309738</v>
      </c>
      <c r="BE35" s="281">
        <f t="shared" si="79"/>
        <v>27.7728585</v>
      </c>
      <c r="BH35" s="153">
        <v>26.8843861740167</v>
      </c>
      <c r="BI35" s="199">
        <f t="shared" si="80"/>
        <v>5.520879104</v>
      </c>
      <c r="BJ35" s="284">
        <f t="shared" si="81"/>
        <v>26.34474194</v>
      </c>
    </row>
    <row r="36" ht="15.75" customHeight="1">
      <c r="A36" s="5"/>
      <c r="B36" s="141"/>
      <c r="C36" s="141"/>
      <c r="D36" s="155"/>
      <c r="G36" s="141"/>
      <c r="H36" s="141"/>
      <c r="L36" s="141"/>
      <c r="M36" s="141"/>
      <c r="AE36" s="141"/>
      <c r="AF36" s="141"/>
      <c r="AJ36" s="141"/>
      <c r="AK36" s="141"/>
      <c r="AW36" s="5"/>
      <c r="AX36" s="141"/>
      <c r="AY36" s="65"/>
      <c r="BA36" s="10"/>
      <c r="BC36" s="141"/>
      <c r="BD36" s="65"/>
      <c r="BH36" s="141"/>
      <c r="BI36" s="65"/>
    </row>
    <row r="37" ht="15.75" customHeight="1">
      <c r="A37" s="5"/>
      <c r="B37" s="141"/>
      <c r="E37" s="141"/>
      <c r="G37" s="141"/>
      <c r="H37" s="141"/>
      <c r="L37" s="65"/>
      <c r="M37" s="65"/>
      <c r="Y37" s="5"/>
      <c r="Z37" s="141"/>
      <c r="AA37" s="141"/>
      <c r="AB37" s="155"/>
      <c r="AC37" s="10"/>
      <c r="AE37" s="65"/>
      <c r="AF37" s="141"/>
      <c r="AJ37" s="65"/>
      <c r="AK37" s="65"/>
      <c r="AW37" s="5"/>
      <c r="AX37" s="141"/>
      <c r="AY37" s="65"/>
      <c r="BA37" s="141"/>
      <c r="BD37" s="141"/>
      <c r="BI37" s="65"/>
    </row>
    <row r="38" ht="15.75" customHeight="1">
      <c r="B38" s="141"/>
      <c r="E38" s="141"/>
      <c r="H38" s="141"/>
      <c r="Y38" s="5"/>
      <c r="Z38" s="141"/>
      <c r="AA38" s="65"/>
      <c r="AC38" s="141"/>
      <c r="AF38" s="141"/>
      <c r="AX38" s="141"/>
      <c r="BA38" s="141"/>
      <c r="BC38" s="65"/>
      <c r="BD38" s="141"/>
      <c r="BH38" s="65"/>
    </row>
    <row r="39" ht="15.75" customHeight="1">
      <c r="B39" s="141"/>
      <c r="E39" s="141"/>
      <c r="H39" s="141"/>
      <c r="Z39" s="141"/>
      <c r="AC39" s="141"/>
      <c r="AF39" s="141"/>
      <c r="AX39" s="141"/>
      <c r="BA39" s="141"/>
      <c r="BD39" s="141"/>
    </row>
    <row r="40" ht="15.75" customHeight="1">
      <c r="B40" s="166" t="s">
        <v>327</v>
      </c>
      <c r="C40" s="167" t="s">
        <v>328</v>
      </c>
      <c r="D40" s="167" t="s">
        <v>133</v>
      </c>
      <c r="E40" s="168" t="s">
        <v>329</v>
      </c>
      <c r="G40" s="166" t="s">
        <v>330</v>
      </c>
      <c r="H40" s="167" t="s">
        <v>331</v>
      </c>
      <c r="I40" s="167" t="s">
        <v>133</v>
      </c>
      <c r="J40" s="168" t="s">
        <v>332</v>
      </c>
      <c r="L40" s="166" t="s">
        <v>333</v>
      </c>
      <c r="M40" s="167" t="s">
        <v>334</v>
      </c>
      <c r="N40" s="167" t="s">
        <v>133</v>
      </c>
      <c r="O40" s="168" t="s">
        <v>335</v>
      </c>
      <c r="P40" s="222"/>
      <c r="Z40" s="166" t="s">
        <v>336</v>
      </c>
      <c r="AA40" s="167" t="s">
        <v>337</v>
      </c>
      <c r="AB40" s="167" t="s">
        <v>133</v>
      </c>
      <c r="AC40" s="168" t="s">
        <v>338</v>
      </c>
      <c r="AE40" s="166" t="s">
        <v>339</v>
      </c>
      <c r="AF40" s="167" t="s">
        <v>340</v>
      </c>
      <c r="AG40" s="167" t="s">
        <v>133</v>
      </c>
      <c r="AH40" s="168" t="s">
        <v>341</v>
      </c>
      <c r="AJ40" s="166" t="s">
        <v>342</v>
      </c>
      <c r="AK40" s="167" t="s">
        <v>343</v>
      </c>
      <c r="AL40" s="167" t="s">
        <v>133</v>
      </c>
      <c r="AM40" s="168" t="s">
        <v>344</v>
      </c>
      <c r="AN40" s="222"/>
      <c r="AX40" s="166" t="s">
        <v>345</v>
      </c>
      <c r="AY40" s="167" t="s">
        <v>346</v>
      </c>
      <c r="AZ40" s="167" t="s">
        <v>133</v>
      </c>
      <c r="BA40" s="168" t="s">
        <v>347</v>
      </c>
      <c r="BB40" s="5"/>
      <c r="BC40" s="166" t="s">
        <v>348</v>
      </c>
      <c r="BD40" s="167" t="s">
        <v>349</v>
      </c>
      <c r="BE40" s="167" t="s">
        <v>133</v>
      </c>
      <c r="BF40" s="168" t="s">
        <v>350</v>
      </c>
      <c r="BG40" s="5"/>
      <c r="BH40" s="166" t="s">
        <v>351</v>
      </c>
      <c r="BI40" s="167" t="s">
        <v>352</v>
      </c>
      <c r="BJ40" s="167" t="s">
        <v>133</v>
      </c>
      <c r="BK40" s="168" t="s">
        <v>353</v>
      </c>
      <c r="BL40" s="5"/>
    </row>
    <row r="41" ht="15.75" customHeight="1">
      <c r="B41" s="289">
        <f>EXP(3.9239)</f>
        <v>50.59739031</v>
      </c>
      <c r="C41" s="290">
        <f>-(-0.0000004)</f>
        <v>0.0000004</v>
      </c>
      <c r="D41" s="242">
        <f>1/F43</f>
        <v>1118.033989</v>
      </c>
      <c r="E41" s="274">
        <v>0.9147</v>
      </c>
      <c r="F41" s="10"/>
      <c r="G41" s="291">
        <f>EXP(3.3458)</f>
        <v>28.3832732</v>
      </c>
      <c r="H41" s="292">
        <f>-(-0.000001)</f>
        <v>0.000001</v>
      </c>
      <c r="I41" s="293">
        <f>1/K43</f>
        <v>707.1067812</v>
      </c>
      <c r="J41" s="229">
        <v>0.787</v>
      </c>
      <c r="K41" s="10"/>
      <c r="L41" s="230">
        <f>EXP(3.2064)</f>
        <v>24.69004189</v>
      </c>
      <c r="M41" s="294">
        <f>-(-0.00002)</f>
        <v>0.00002</v>
      </c>
      <c r="N41" s="232">
        <f>1/P43</f>
        <v>158.113883</v>
      </c>
      <c r="O41" s="295">
        <v>0.9995</v>
      </c>
      <c r="P41" s="10"/>
      <c r="Z41" s="296">
        <f>EXP(3.9594)</f>
        <v>52.42586099</v>
      </c>
      <c r="AA41" s="297">
        <f>-(-0.0000004)</f>
        <v>0.0000004</v>
      </c>
      <c r="AB41" s="112">
        <f>1/AD43</f>
        <v>1118.033989</v>
      </c>
      <c r="AC41" s="256">
        <v>0.8776</v>
      </c>
      <c r="AE41" s="299">
        <f>EXP(3.7089)</f>
        <v>40.80889205</v>
      </c>
      <c r="AF41" s="300">
        <f>-(-0.0000003)</f>
        <v>0.0000003</v>
      </c>
      <c r="AG41" s="301">
        <f>1/AI43</f>
        <v>1290.994449</v>
      </c>
      <c r="AH41" s="302">
        <v>0.9645</v>
      </c>
      <c r="AJ41" s="296">
        <f>EXP(3.6195)</f>
        <v>37.3189037</v>
      </c>
      <c r="AK41" s="300">
        <f>-(-0.000005)</f>
        <v>0.000005</v>
      </c>
      <c r="AL41" s="303">
        <f>1/AN43</f>
        <v>316.227766</v>
      </c>
      <c r="AM41" s="304">
        <v>0.9681</v>
      </c>
      <c r="AX41" s="296">
        <f>EXP(3.9632)</f>
        <v>52.62545826</v>
      </c>
      <c r="AY41" s="297">
        <f>-(-0.0000008)</f>
        <v>0.0000008</v>
      </c>
      <c r="AZ41" s="305">
        <f>1/BB43</f>
        <v>790.569415</v>
      </c>
      <c r="BA41" s="256">
        <v>0.9833</v>
      </c>
      <c r="BB41" s="5"/>
      <c r="BC41" s="178">
        <f>EXP(3.2537)</f>
        <v>25.88594093</v>
      </c>
      <c r="BD41" s="306">
        <f>-(-0.00002)</f>
        <v>0.00002</v>
      </c>
      <c r="BE41" s="179">
        <f>1/BG43</f>
        <v>158.113883</v>
      </c>
      <c r="BF41" s="307">
        <v>0.9215</v>
      </c>
      <c r="BG41" s="5"/>
      <c r="BH41" s="178">
        <f>EXP(3.224)</f>
        <v>25.12843315</v>
      </c>
      <c r="BI41" s="306">
        <f>-(-0.0000008)</f>
        <v>0.0000008</v>
      </c>
      <c r="BJ41" s="179">
        <f>1/BL43</f>
        <v>790.569415</v>
      </c>
      <c r="BK41" s="307">
        <v>0.9314</v>
      </c>
      <c r="BL41" s="5"/>
    </row>
    <row r="42" ht="15.75" customHeight="1">
      <c r="A42" s="147"/>
      <c r="B42" s="185" t="s">
        <v>354</v>
      </c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2"/>
      <c r="P42" s="277"/>
      <c r="Q42" s="147"/>
      <c r="R42" s="147"/>
      <c r="S42" s="147"/>
      <c r="T42" s="147"/>
      <c r="U42" s="147"/>
      <c r="V42" s="147"/>
      <c r="W42" s="147"/>
      <c r="X42" s="147"/>
      <c r="Y42" s="147"/>
      <c r="Z42" s="308" t="s">
        <v>355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/>
      <c r="AN42" s="277"/>
      <c r="AO42" s="147"/>
      <c r="AP42" s="147"/>
      <c r="AQ42" s="147"/>
      <c r="AR42" s="147"/>
      <c r="AS42" s="147"/>
      <c r="AT42" s="147"/>
      <c r="AU42" s="147"/>
      <c r="AV42" s="147"/>
      <c r="AW42" s="147"/>
      <c r="AX42" s="308" t="s">
        <v>356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4"/>
      <c r="BL42" s="309"/>
      <c r="BM42" s="147"/>
      <c r="BN42" s="147"/>
      <c r="BO42" s="147"/>
      <c r="BP42" s="147"/>
      <c r="BQ42" s="147"/>
      <c r="BR42" s="147"/>
      <c r="BS42" s="147"/>
      <c r="BT42" s="147"/>
      <c r="BU42" s="147"/>
    </row>
    <row r="43" ht="15.75" customHeight="1">
      <c r="A43" s="147"/>
      <c r="B43" s="191" t="s">
        <v>229</v>
      </c>
      <c r="C43" s="91"/>
      <c r="D43" s="91"/>
      <c r="E43" s="92"/>
      <c r="F43" s="10">
        <f>SQRT(2*C41)</f>
        <v>0.000894427191</v>
      </c>
      <c r="G43" s="279" t="s">
        <v>230</v>
      </c>
      <c r="H43" s="91"/>
      <c r="I43" s="91"/>
      <c r="J43" s="92"/>
      <c r="K43" s="10">
        <f>SQRT(2*H41)</f>
        <v>0.001414213562</v>
      </c>
      <c r="L43" s="279" t="s">
        <v>231</v>
      </c>
      <c r="M43" s="91"/>
      <c r="N43" s="91"/>
      <c r="O43" s="92"/>
      <c r="P43" s="10">
        <f>SQRT(2*M41)</f>
        <v>0.00632455532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91" t="s">
        <v>229</v>
      </c>
      <c r="AA43" s="91"/>
      <c r="AB43" s="91"/>
      <c r="AC43" s="92"/>
      <c r="AD43" s="1">
        <f>SQRT(2*AA41)</f>
        <v>0.000894427191</v>
      </c>
      <c r="AE43" s="187" t="s">
        <v>230</v>
      </c>
      <c r="AF43" s="188"/>
      <c r="AG43" s="188"/>
      <c r="AH43" s="189"/>
      <c r="AI43" s="1">
        <f>SQRT(2*AF41)</f>
        <v>0.0007745966692</v>
      </c>
      <c r="AJ43" s="187" t="s">
        <v>231</v>
      </c>
      <c r="AK43" s="188"/>
      <c r="AL43" s="188"/>
      <c r="AM43" s="189"/>
      <c r="AN43" s="1">
        <f>SQRT(2*AK41)</f>
        <v>0.00316227766</v>
      </c>
      <c r="AO43" s="147"/>
      <c r="AP43" s="147"/>
      <c r="AQ43" s="147"/>
      <c r="AR43" s="147"/>
      <c r="AS43" s="147"/>
      <c r="AT43" s="147"/>
      <c r="AU43" s="147"/>
      <c r="AV43" s="147"/>
      <c r="AW43" s="147"/>
      <c r="AX43" s="191" t="s">
        <v>229</v>
      </c>
      <c r="AY43" s="91"/>
      <c r="AZ43" s="91"/>
      <c r="BA43" s="92"/>
      <c r="BB43" s="5">
        <f>SQRT(2*AY41)</f>
        <v>0.001264911064</v>
      </c>
      <c r="BC43" s="187" t="s">
        <v>230</v>
      </c>
      <c r="BD43" s="188"/>
      <c r="BE43" s="188"/>
      <c r="BF43" s="189"/>
      <c r="BG43" s="5">
        <f>SQRT(2*BD41)</f>
        <v>0.00632455532</v>
      </c>
      <c r="BH43" s="187" t="s">
        <v>231</v>
      </c>
      <c r="BI43" s="188"/>
      <c r="BJ43" s="188"/>
      <c r="BK43" s="189"/>
      <c r="BL43" s="5">
        <f>SQRT(2*BI41)</f>
        <v>0.001264911064</v>
      </c>
      <c r="BM43" s="147"/>
      <c r="BN43" s="147"/>
      <c r="BO43" s="147"/>
      <c r="BP43" s="147"/>
      <c r="BQ43" s="147"/>
      <c r="BR43" s="147"/>
      <c r="BS43" s="147"/>
      <c r="BT43" s="147"/>
      <c r="BU43" s="147"/>
    </row>
    <row r="44" ht="15.75" customHeight="1">
      <c r="A44" s="258" t="s">
        <v>168</v>
      </c>
      <c r="B44" s="166" t="s">
        <v>357</v>
      </c>
      <c r="C44" s="193" t="s">
        <v>358</v>
      </c>
      <c r="D44" s="167" t="s">
        <v>233</v>
      </c>
      <c r="E44" s="168" t="s">
        <v>171</v>
      </c>
      <c r="G44" s="166" t="s">
        <v>357</v>
      </c>
      <c r="H44" s="193" t="s">
        <v>358</v>
      </c>
      <c r="I44" s="167" t="s">
        <v>233</v>
      </c>
      <c r="J44" s="168" t="s">
        <v>171</v>
      </c>
      <c r="L44" s="166" t="s">
        <v>357</v>
      </c>
      <c r="M44" s="193" t="s">
        <v>358</v>
      </c>
      <c r="N44" s="167" t="s">
        <v>233</v>
      </c>
      <c r="O44" s="168" t="s">
        <v>171</v>
      </c>
      <c r="Y44" s="258" t="s">
        <v>168</v>
      </c>
      <c r="Z44" s="166" t="s">
        <v>357</v>
      </c>
      <c r="AA44" s="193" t="s">
        <v>358</v>
      </c>
      <c r="AB44" s="167" t="s">
        <v>233</v>
      </c>
      <c r="AC44" s="168" t="s">
        <v>171</v>
      </c>
      <c r="AE44" s="166" t="s">
        <v>357</v>
      </c>
      <c r="AF44" s="193" t="s">
        <v>358</v>
      </c>
      <c r="AG44" s="167" t="s">
        <v>233</v>
      </c>
      <c r="AH44" s="168" t="s">
        <v>171</v>
      </c>
      <c r="AJ44" s="166" t="s">
        <v>357</v>
      </c>
      <c r="AK44" s="193" t="s">
        <v>358</v>
      </c>
      <c r="AL44" s="167" t="s">
        <v>233</v>
      </c>
      <c r="AM44" s="168" t="s">
        <v>171</v>
      </c>
      <c r="AW44" s="258" t="s">
        <v>168</v>
      </c>
      <c r="AX44" s="166" t="s">
        <v>357</v>
      </c>
      <c r="AY44" s="193" t="s">
        <v>358</v>
      </c>
      <c r="AZ44" s="167" t="s">
        <v>233</v>
      </c>
      <c r="BA44" s="168" t="s">
        <v>171</v>
      </c>
      <c r="BB44" s="5"/>
      <c r="BC44" s="166" t="s">
        <v>357</v>
      </c>
      <c r="BD44" s="193" t="s">
        <v>358</v>
      </c>
      <c r="BE44" s="167" t="s">
        <v>233</v>
      </c>
      <c r="BF44" s="168" t="s">
        <v>171</v>
      </c>
      <c r="BG44" s="5"/>
      <c r="BH44" s="166" t="s">
        <v>357</v>
      </c>
      <c r="BI44" s="193" t="s">
        <v>358</v>
      </c>
      <c r="BJ44" s="167" t="s">
        <v>233</v>
      </c>
      <c r="BK44" s="168" t="s">
        <v>171</v>
      </c>
      <c r="BL44" s="5"/>
    </row>
    <row r="45" ht="15.75" customHeight="1">
      <c r="A45" s="196">
        <v>100.0</v>
      </c>
      <c r="B45" s="310">
        <f>((8.314*288)*(LN(1+1/B19)))^2</f>
        <v>2715280.196</v>
      </c>
      <c r="C45" s="34">
        <f t="shared" ref="C45:C48" si="82">LN(D45)</f>
        <v>2.885359216</v>
      </c>
      <c r="D45" s="14">
        <v>17.91</v>
      </c>
      <c r="E45" s="260">
        <f t="shared" ref="E45:E48" si="83">$B$41*EXP(-$C$41*B45)</f>
        <v>17.07794597</v>
      </c>
      <c r="G45" s="310">
        <f t="shared" ref="G45:G48" si="84">((8.314*288)*(LN(1+1/G19)))^2</f>
        <v>375213.418</v>
      </c>
      <c r="H45" s="34">
        <f t="shared" ref="H45:H48" si="85">LN(I45)</f>
        <v>2.857707003</v>
      </c>
      <c r="I45" s="199">
        <v>17.4215335717124</v>
      </c>
      <c r="J45" s="260">
        <f t="shared" ref="J45:J48" si="86">$G$41*EXP(-$H$41*G45)</f>
        <v>19.50335656</v>
      </c>
      <c r="L45" s="310">
        <f t="shared" ref="L45:L48" si="87">((8.314*288)*(LN(1+1/L19)))^2</f>
        <v>25653.00885</v>
      </c>
      <c r="M45" s="34">
        <f t="shared" ref="M45:M48" si="88">LN(N45)</f>
        <v>2.72238218</v>
      </c>
      <c r="N45" s="11">
        <v>15.216527612236789</v>
      </c>
      <c r="O45" s="260">
        <f t="shared" ref="O45:O48" si="89">$L$41*EXP(-$M$41*L45)</f>
        <v>14.78095936</v>
      </c>
      <c r="Y45" s="196">
        <v>100.0</v>
      </c>
      <c r="Z45" s="310">
        <f t="shared" ref="Z45:Z48" si="90">((8.314*303)*(LN(1+1/Z19)))^2</f>
        <v>2840677.725</v>
      </c>
      <c r="AA45" s="11">
        <f t="shared" ref="AA45:AA48" si="91">LN(AB45)</f>
        <v>2.884800713</v>
      </c>
      <c r="AB45" s="199">
        <v>17.9</v>
      </c>
      <c r="AC45" s="263">
        <f t="shared" ref="AC45:AC48" si="92">$Z$41*EXP(-$AA$41*Z45)</f>
        <v>16.82942614</v>
      </c>
      <c r="AE45" s="310">
        <f t="shared" ref="AE45:AE48" si="93">((8.314*303)*(LN(1+1/AE19)))^2</f>
        <v>2921295.874</v>
      </c>
      <c r="AF45" s="34">
        <f t="shared" ref="AF45:AF48" si="94">LN(AG45)</f>
        <v>2.884800713</v>
      </c>
      <c r="AG45" s="199">
        <v>17.9</v>
      </c>
      <c r="AH45" s="260">
        <f t="shared" ref="AH45:AH48" si="95">$AE$41*EXP(-$AF$41*AE45)</f>
        <v>16.98806838</v>
      </c>
      <c r="AJ45" s="310">
        <f t="shared" ref="AJ45:AJ48" si="96">((8.314*303)*(LN(1+1/AJ19)))^2</f>
        <v>161005.9272</v>
      </c>
      <c r="AK45" s="20">
        <f t="shared" ref="AK45:AK48" si="97">LN(AL45)</f>
        <v>2.830226814</v>
      </c>
      <c r="AL45" s="199">
        <v>16.9493047278506</v>
      </c>
      <c r="AM45" s="260">
        <f t="shared" ref="AM45:AM48" si="98">$AJ$41*EXP(-$AK$41*AJ45)</f>
        <v>16.68433682</v>
      </c>
      <c r="AW45" s="196">
        <v>100.0</v>
      </c>
      <c r="AX45" s="310">
        <f t="shared" ref="AX45:AX48" si="99">((8.314*318)*(LN(1+1/AX19)))^2</f>
        <v>1375131.035</v>
      </c>
      <c r="AY45" s="11">
        <f t="shared" ref="AY45:AY48" si="100">LN(AZ45)</f>
        <v>2.876346345</v>
      </c>
      <c r="AZ45" s="11">
        <v>17.749304727850614</v>
      </c>
      <c r="BA45" s="260">
        <f t="shared" ref="BA45:BA48" si="101">$AX$41*EXP(-$AY$41*AX45)</f>
        <v>17.5156571</v>
      </c>
      <c r="BB45" s="5"/>
      <c r="BC45" s="310">
        <f t="shared" ref="BC45:BC48" si="102">((8.314*318)*(LN(1+1/BC19)))^2</f>
        <v>29485.62752</v>
      </c>
      <c r="BD45" s="34">
        <f t="shared" ref="BD45:BD48" si="103">LN(BE45)</f>
        <v>2.716490183</v>
      </c>
      <c r="BE45" s="199">
        <v>15.127135478744535</v>
      </c>
      <c r="BF45" s="264">
        <f t="shared" ref="BF45:BF48" si="104">$BC$41*EXP(-$BD$41*BC45)</f>
        <v>14.35340864</v>
      </c>
      <c r="BG45" s="5"/>
      <c r="BH45" s="310">
        <f t="shared" ref="BH45:BH48" si="105">((8.314*318)*(LN(1+1/BH19)))^2</f>
        <v>457454.2062</v>
      </c>
      <c r="BI45" s="34">
        <f t="shared" ref="BI45:BI48" si="106">LN(BJ45)</f>
        <v>2.857707003</v>
      </c>
      <c r="BJ45" s="11">
        <v>17.421533571712352</v>
      </c>
      <c r="BK45" s="260">
        <f t="shared" ref="BK45:BK48" si="107">$BH$41*EXP(-$BI$41*BH45)</f>
        <v>17.42727722</v>
      </c>
      <c r="BL45" s="5"/>
    </row>
    <row r="46" ht="15.75" customHeight="1">
      <c r="A46" s="196">
        <v>200.0</v>
      </c>
      <c r="B46" s="310">
        <f t="shared" ref="B46:B48" si="108">(( 8.314*288)*(LN(1+1/B20)))^2</f>
        <v>248130.3911</v>
      </c>
      <c r="C46" s="34">
        <f t="shared" si="82"/>
        <v>3.657809777</v>
      </c>
      <c r="D46" s="11">
        <v>38.77632101708383</v>
      </c>
      <c r="E46" s="260">
        <f t="shared" si="83"/>
        <v>45.81666289</v>
      </c>
      <c r="G46" s="310">
        <f t="shared" si="84"/>
        <v>935.779772</v>
      </c>
      <c r="H46" s="34">
        <f t="shared" si="85"/>
        <v>3.181639633</v>
      </c>
      <c r="I46" s="199">
        <v>24.08621374652364</v>
      </c>
      <c r="J46" s="260">
        <f t="shared" si="86"/>
        <v>28.35672514</v>
      </c>
      <c r="L46" s="310">
        <f t="shared" si="87"/>
        <v>950.1937556</v>
      </c>
      <c r="M46" s="34">
        <f t="shared" si="88"/>
        <v>3.186575883</v>
      </c>
      <c r="N46" s="11">
        <v>24.20540325784664</v>
      </c>
      <c r="O46" s="260">
        <f t="shared" si="89"/>
        <v>24.22526568</v>
      </c>
      <c r="Y46" s="196">
        <v>200.0</v>
      </c>
      <c r="Z46" s="310">
        <f t="shared" si="90"/>
        <v>159848.2255</v>
      </c>
      <c r="AA46" s="11">
        <f t="shared" si="91"/>
        <v>3.650095674</v>
      </c>
      <c r="AB46" s="11">
        <v>38.47834723877632</v>
      </c>
      <c r="AC46" s="263">
        <f t="shared" si="92"/>
        <v>49.17870526</v>
      </c>
      <c r="AE46" s="310">
        <f t="shared" si="93"/>
        <v>22253.076</v>
      </c>
      <c r="AF46" s="34">
        <f t="shared" si="94"/>
        <v>3.593544443</v>
      </c>
      <c r="AG46" s="11">
        <v>36.36273341279301</v>
      </c>
      <c r="AH46" s="260">
        <f t="shared" si="95"/>
        <v>40.5373624</v>
      </c>
      <c r="AJ46" s="310">
        <f t="shared" si="96"/>
        <v>16570.65409</v>
      </c>
      <c r="AK46" s="20">
        <f t="shared" si="97"/>
        <v>3.473665248</v>
      </c>
      <c r="AL46" s="210">
        <v>32.25474771553428</v>
      </c>
      <c r="AM46" s="260">
        <f t="shared" si="98"/>
        <v>34.35153585</v>
      </c>
      <c r="AW46" s="196">
        <v>200.0</v>
      </c>
      <c r="AX46" s="310">
        <f t="shared" si="99"/>
        <v>302516.6097</v>
      </c>
      <c r="AY46" s="11">
        <f t="shared" si="100"/>
        <v>3.657809777</v>
      </c>
      <c r="AZ46" s="11">
        <v>38.77632101708383</v>
      </c>
      <c r="BA46" s="260">
        <f t="shared" si="101"/>
        <v>41.31339214</v>
      </c>
      <c r="BB46" s="5"/>
      <c r="BC46" s="310">
        <f t="shared" si="102"/>
        <v>733.1610759</v>
      </c>
      <c r="BD46" s="34">
        <f t="shared" si="103"/>
        <v>3.135494216</v>
      </c>
      <c r="BE46" s="210">
        <v>23.0</v>
      </c>
      <c r="BF46" s="264">
        <f t="shared" si="104"/>
        <v>25.50913896</v>
      </c>
      <c r="BG46" s="5"/>
      <c r="BH46" s="310">
        <f t="shared" si="105"/>
        <v>1111.08227</v>
      </c>
      <c r="BI46" s="34">
        <f t="shared" si="106"/>
        <v>3.172942125</v>
      </c>
      <c r="BJ46" s="11">
        <v>23.877632101708386</v>
      </c>
      <c r="BK46" s="260">
        <f t="shared" si="107"/>
        <v>25.10610727</v>
      </c>
      <c r="BL46" s="5"/>
    </row>
    <row r="47" ht="15.75" customHeight="1">
      <c r="A47" s="196">
        <v>300.0</v>
      </c>
      <c r="B47" s="310">
        <f t="shared" si="108"/>
        <v>5319.02097</v>
      </c>
      <c r="C47" s="34">
        <f t="shared" si="82"/>
        <v>3.871482391</v>
      </c>
      <c r="D47" s="11">
        <v>48.013508144616594</v>
      </c>
      <c r="E47" s="260">
        <f t="shared" si="83"/>
        <v>50.48985331</v>
      </c>
      <c r="G47" s="310">
        <f t="shared" si="84"/>
        <v>345.7035638</v>
      </c>
      <c r="H47" s="34">
        <f t="shared" si="85"/>
        <v>3.361208263</v>
      </c>
      <c r="I47" s="199">
        <v>28.823996821613022</v>
      </c>
      <c r="J47" s="260">
        <f t="shared" si="86"/>
        <v>28.3734627</v>
      </c>
      <c r="L47" s="310">
        <f t="shared" si="87"/>
        <v>252.512788</v>
      </c>
      <c r="M47" s="34">
        <f t="shared" si="88"/>
        <v>3.19637588</v>
      </c>
      <c r="N47" s="11">
        <v>24.4437822804926</v>
      </c>
      <c r="O47" s="260">
        <f t="shared" si="89"/>
        <v>24.5656652</v>
      </c>
      <c r="Y47" s="196">
        <v>300.0</v>
      </c>
      <c r="Z47" s="310">
        <f t="shared" si="90"/>
        <v>8597.116659</v>
      </c>
      <c r="AA47" s="11">
        <f t="shared" si="91"/>
        <v>3.951243719</v>
      </c>
      <c r="AB47" s="11">
        <v>52.0</v>
      </c>
      <c r="AC47" s="263">
        <f t="shared" si="92"/>
        <v>52.24588613</v>
      </c>
      <c r="AE47" s="310">
        <f t="shared" si="93"/>
        <v>1641.211845</v>
      </c>
      <c r="AF47" s="34">
        <f t="shared" si="94"/>
        <v>3.741078675</v>
      </c>
      <c r="AG47" s="11">
        <v>42.14342471195867</v>
      </c>
      <c r="AH47" s="260">
        <f t="shared" si="95"/>
        <v>40.78880418</v>
      </c>
      <c r="AJ47" s="310">
        <f t="shared" si="96"/>
        <v>509.2938764</v>
      </c>
      <c r="AK47" s="20">
        <f t="shared" si="97"/>
        <v>3.578785531</v>
      </c>
      <c r="AL47" s="211">
        <v>35.83</v>
      </c>
      <c r="AM47" s="260">
        <f t="shared" si="98"/>
        <v>37.22399315</v>
      </c>
      <c r="AW47" s="196">
        <v>300.0</v>
      </c>
      <c r="AX47" s="310">
        <f t="shared" si="99"/>
        <v>13389.96215</v>
      </c>
      <c r="AY47" s="11">
        <f t="shared" si="100"/>
        <v>3.912221635</v>
      </c>
      <c r="AZ47" s="11">
        <v>50.00993245927691</v>
      </c>
      <c r="BA47" s="260">
        <f t="shared" si="101"/>
        <v>52.06474448</v>
      </c>
      <c r="BB47" s="5"/>
      <c r="BC47" s="310">
        <f t="shared" si="102"/>
        <v>349.1121919</v>
      </c>
      <c r="BD47" s="34">
        <f t="shared" si="103"/>
        <v>3.268817869</v>
      </c>
      <c r="BE47" s="199">
        <v>26.28025427095748</v>
      </c>
      <c r="BF47" s="264">
        <f t="shared" si="104"/>
        <v>25.7058285</v>
      </c>
      <c r="BG47" s="5"/>
      <c r="BH47" s="310">
        <f t="shared" si="105"/>
        <v>312.7883252</v>
      </c>
      <c r="BI47" s="34">
        <f t="shared" si="106"/>
        <v>3.206080768</v>
      </c>
      <c r="BJ47" s="11">
        <v>24.68216130313865</v>
      </c>
      <c r="BK47" s="260">
        <f t="shared" si="107"/>
        <v>25.12214604</v>
      </c>
      <c r="BL47" s="5"/>
    </row>
    <row r="48" ht="15.75" customHeight="1">
      <c r="A48" s="212">
        <v>400.0</v>
      </c>
      <c r="B48" s="311">
        <f t="shared" si="108"/>
        <v>1924.286302</v>
      </c>
      <c r="C48" s="34">
        <f t="shared" si="82"/>
        <v>4.127749368</v>
      </c>
      <c r="D48" s="214">
        <v>62.038140643623365</v>
      </c>
      <c r="E48" s="260">
        <f t="shared" si="83"/>
        <v>50.55845975</v>
      </c>
      <c r="G48" s="311">
        <f t="shared" si="84"/>
        <v>142.6192218</v>
      </c>
      <c r="H48" s="34">
        <f t="shared" si="85"/>
        <v>3.492256113</v>
      </c>
      <c r="I48" s="210">
        <v>32.86</v>
      </c>
      <c r="J48" s="267">
        <f t="shared" si="86"/>
        <v>28.37922549</v>
      </c>
      <c r="L48" s="311">
        <f t="shared" si="87"/>
        <v>98.98303319</v>
      </c>
      <c r="M48" s="34">
        <f t="shared" si="88"/>
        <v>3.211698761</v>
      </c>
      <c r="N48" s="214">
        <v>24.8212157330155</v>
      </c>
      <c r="O48" s="260">
        <f t="shared" si="89"/>
        <v>24.64121233</v>
      </c>
      <c r="Y48" s="212">
        <v>400.0</v>
      </c>
      <c r="Z48" s="310">
        <f t="shared" si="90"/>
        <v>6009.067883</v>
      </c>
      <c r="AA48" s="11">
        <f t="shared" si="91"/>
        <v>4.196600263</v>
      </c>
      <c r="AB48" s="218">
        <v>66.46</v>
      </c>
      <c r="AC48" s="263">
        <f t="shared" si="92"/>
        <v>52.30000009</v>
      </c>
      <c r="AE48" s="310">
        <f t="shared" si="93"/>
        <v>302.9942131</v>
      </c>
      <c r="AF48" s="34">
        <f t="shared" si="94"/>
        <v>3.784433401</v>
      </c>
      <c r="AG48" s="214">
        <v>44.01072705601908</v>
      </c>
      <c r="AH48" s="260">
        <f t="shared" si="95"/>
        <v>40.80518276</v>
      </c>
      <c r="AJ48" s="310">
        <f t="shared" si="96"/>
        <v>280.1789434</v>
      </c>
      <c r="AK48" s="20">
        <f t="shared" si="97"/>
        <v>3.713572067</v>
      </c>
      <c r="AL48" s="210">
        <v>41.0</v>
      </c>
      <c r="AM48" s="260">
        <f t="shared" si="98"/>
        <v>37.26666045</v>
      </c>
      <c r="AW48" s="212">
        <v>400.0</v>
      </c>
      <c r="AX48" s="310">
        <f t="shared" si="99"/>
        <v>1167.400353</v>
      </c>
      <c r="AY48" s="11">
        <f t="shared" si="100"/>
        <v>4.051422131</v>
      </c>
      <c r="AZ48" s="214">
        <v>57.479141835518476</v>
      </c>
      <c r="BA48" s="260">
        <f t="shared" si="101"/>
        <v>52.57633322</v>
      </c>
      <c r="BB48" s="5"/>
      <c r="BC48" s="310">
        <f t="shared" si="102"/>
        <v>151.216411</v>
      </c>
      <c r="BD48" s="34">
        <f t="shared" si="103"/>
        <v>3.33220451</v>
      </c>
      <c r="BE48" s="220">
        <v>28.0</v>
      </c>
      <c r="BF48" s="264">
        <f t="shared" si="104"/>
        <v>25.80777161</v>
      </c>
      <c r="BG48" s="5"/>
      <c r="BH48" s="310">
        <f t="shared" si="105"/>
        <v>111.522969</v>
      </c>
      <c r="BI48" s="34">
        <f t="shared" si="106"/>
        <v>3.291545678</v>
      </c>
      <c r="BJ48" s="153">
        <v>26.8843861740167</v>
      </c>
      <c r="BK48" s="260">
        <f t="shared" si="107"/>
        <v>25.12619134</v>
      </c>
      <c r="BL48" s="5"/>
    </row>
    <row r="49" ht="15.75" customHeight="1">
      <c r="A49" s="5"/>
      <c r="B49" s="312"/>
      <c r="C49" s="65"/>
      <c r="D49" s="312"/>
      <c r="G49" s="312"/>
      <c r="H49" s="65"/>
      <c r="L49" s="312"/>
      <c r="M49" s="65"/>
      <c r="Y49" s="5"/>
      <c r="Z49" s="312"/>
      <c r="AA49" s="65"/>
      <c r="AE49" s="312"/>
      <c r="AF49" s="65"/>
      <c r="AJ49" s="312"/>
      <c r="AW49" s="5"/>
      <c r="AX49" s="312"/>
      <c r="BC49" s="312"/>
      <c r="BH49" s="312"/>
    </row>
    <row r="50" ht="15.75" customHeight="1">
      <c r="A50" s="5"/>
      <c r="B50" s="312"/>
      <c r="C50" s="5"/>
      <c r="G50" s="312"/>
      <c r="H50" s="5"/>
      <c r="L50" s="312"/>
      <c r="M50" s="5"/>
      <c r="Y50" s="5"/>
      <c r="Z50" s="312"/>
      <c r="AA50" s="65"/>
      <c r="AE50" s="312"/>
      <c r="AF50" s="65"/>
      <c r="AJ50" s="312"/>
      <c r="AW50" s="5"/>
      <c r="AX50" s="312"/>
      <c r="BC50" s="312"/>
      <c r="BH50" s="312"/>
    </row>
    <row r="51" ht="15.75" customHeight="1">
      <c r="C51" s="5"/>
    </row>
    <row r="52" ht="15.75" customHeight="1"/>
    <row r="53" ht="15.75" hidden="1" customHeight="1"/>
    <row r="54" ht="15.75" hidden="1" customHeight="1"/>
    <row r="55" ht="15.75" hidden="1" customHeight="1">
      <c r="A55" s="147"/>
      <c r="B55" s="278" t="s">
        <v>359</v>
      </c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9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87" t="s">
        <v>360</v>
      </c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9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278" t="s">
        <v>361</v>
      </c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9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</row>
    <row r="56" ht="15.75" hidden="1" customHeight="1">
      <c r="A56" s="147"/>
      <c r="B56" s="313" t="s">
        <v>229</v>
      </c>
      <c r="C56" s="314"/>
      <c r="D56" s="314"/>
      <c r="E56" s="234"/>
      <c r="F56" s="313" t="s">
        <v>230</v>
      </c>
      <c r="G56" s="314"/>
      <c r="H56" s="314"/>
      <c r="I56" s="234"/>
      <c r="J56" s="313" t="s">
        <v>231</v>
      </c>
      <c r="K56" s="314"/>
      <c r="L56" s="314"/>
      <c r="M56" s="234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315" t="s">
        <v>229</v>
      </c>
      <c r="AA56" s="314"/>
      <c r="AB56" s="314"/>
      <c r="AC56" s="234"/>
      <c r="AD56" s="315" t="s">
        <v>230</v>
      </c>
      <c r="AE56" s="314"/>
      <c r="AF56" s="314"/>
      <c r="AG56" s="234"/>
      <c r="AH56" s="315" t="s">
        <v>231</v>
      </c>
      <c r="AI56" s="314"/>
      <c r="AJ56" s="314"/>
      <c r="AK56" s="234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316" t="s">
        <v>229</v>
      </c>
      <c r="AY56" s="314"/>
      <c r="AZ56" s="314"/>
      <c r="BA56" s="234"/>
      <c r="BB56" s="316" t="s">
        <v>230</v>
      </c>
      <c r="BC56" s="314"/>
      <c r="BD56" s="314"/>
      <c r="BE56" s="234"/>
      <c r="BF56" s="316" t="s">
        <v>231</v>
      </c>
      <c r="BG56" s="314"/>
      <c r="BH56" s="314"/>
      <c r="BI56" s="234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</row>
    <row r="57" ht="15.75" hidden="1" customHeight="1">
      <c r="A57" s="258" t="s">
        <v>168</v>
      </c>
      <c r="B57" s="317" t="s">
        <v>232</v>
      </c>
      <c r="C57" s="50" t="s">
        <v>233</v>
      </c>
      <c r="D57" s="50" t="s">
        <v>362</v>
      </c>
      <c r="E57" s="318" t="s">
        <v>363</v>
      </c>
      <c r="F57" s="317" t="s">
        <v>232</v>
      </c>
      <c r="G57" s="50" t="s">
        <v>233</v>
      </c>
      <c r="H57" s="50" t="s">
        <v>362</v>
      </c>
      <c r="I57" s="318" t="s">
        <v>363</v>
      </c>
      <c r="J57" s="317" t="s">
        <v>232</v>
      </c>
      <c r="K57" s="50" t="s">
        <v>233</v>
      </c>
      <c r="L57" s="50" t="s">
        <v>362</v>
      </c>
      <c r="M57" s="318" t="s">
        <v>363</v>
      </c>
      <c r="Y57" s="258" t="s">
        <v>168</v>
      </c>
      <c r="Z57" s="317" t="s">
        <v>232</v>
      </c>
      <c r="AA57" s="50" t="s">
        <v>233</v>
      </c>
      <c r="AB57" s="50" t="s">
        <v>362</v>
      </c>
      <c r="AC57" s="318" t="s">
        <v>363</v>
      </c>
      <c r="AD57" s="317" t="s">
        <v>232</v>
      </c>
      <c r="AE57" s="50" t="s">
        <v>233</v>
      </c>
      <c r="AF57" s="50" t="s">
        <v>362</v>
      </c>
      <c r="AG57" s="318" t="s">
        <v>363</v>
      </c>
      <c r="AH57" s="317" t="s">
        <v>232</v>
      </c>
      <c r="AI57" s="50" t="s">
        <v>233</v>
      </c>
      <c r="AJ57" s="50" t="s">
        <v>362</v>
      </c>
      <c r="AK57" s="318" t="s">
        <v>363</v>
      </c>
      <c r="AW57" s="258" t="s">
        <v>168</v>
      </c>
      <c r="AX57" s="317" t="s">
        <v>232</v>
      </c>
      <c r="AY57" s="50" t="s">
        <v>233</v>
      </c>
      <c r="AZ57" s="50" t="s">
        <v>362</v>
      </c>
      <c r="BA57" s="318" t="s">
        <v>363</v>
      </c>
      <c r="BB57" s="317" t="s">
        <v>232</v>
      </c>
      <c r="BC57" s="50" t="s">
        <v>233</v>
      </c>
      <c r="BD57" s="50" t="s">
        <v>362</v>
      </c>
      <c r="BE57" s="318" t="s">
        <v>363</v>
      </c>
      <c r="BF57" s="317" t="s">
        <v>232</v>
      </c>
      <c r="BG57" s="50" t="s">
        <v>233</v>
      </c>
      <c r="BH57" s="50" t="s">
        <v>362</v>
      </c>
      <c r="BI57" s="318" t="s">
        <v>363</v>
      </c>
    </row>
    <row r="58" ht="15.75" hidden="1" customHeight="1">
      <c r="A58" s="319">
        <v>50.0</v>
      </c>
      <c r="B58" s="151">
        <v>2.5304659498207887</v>
      </c>
      <c r="C58" s="11">
        <v>8.448130922589387</v>
      </c>
      <c r="D58" s="43">
        <f t="shared" ref="D58:E58" si="109">1/B58</f>
        <v>0.395184136</v>
      </c>
      <c r="E58" s="125">
        <f t="shared" si="109"/>
        <v>0.1183693777</v>
      </c>
      <c r="F58" s="151">
        <v>27.6200716845878</v>
      </c>
      <c r="G58" s="11">
        <v>5.050890008015365</v>
      </c>
      <c r="H58" s="43">
        <f t="shared" ref="H58:I58" si="110">1/F58</f>
        <v>0.03620555411</v>
      </c>
      <c r="I58" s="125">
        <f t="shared" si="110"/>
        <v>0.1979849093</v>
      </c>
      <c r="J58" s="151">
        <v>12.924731182795696</v>
      </c>
      <c r="K58" s="11">
        <v>6.994899069379541</v>
      </c>
      <c r="L58" s="43">
        <f t="shared" ref="L58:M58" si="111">1/J58</f>
        <v>0.07737104825</v>
      </c>
      <c r="M58" s="125">
        <f t="shared" si="111"/>
        <v>0.1429613194</v>
      </c>
      <c r="Y58" s="319">
        <v>50.0</v>
      </c>
      <c r="Z58" s="320">
        <v>4.681003584229391</v>
      </c>
      <c r="AA58" s="20">
        <v>6.601273545336687</v>
      </c>
      <c r="AB58" s="20">
        <f t="shared" ref="AB58:AC58" si="112">1/Z58</f>
        <v>0.2136294028</v>
      </c>
      <c r="AC58" s="321">
        <f t="shared" si="112"/>
        <v>0.1514859206</v>
      </c>
      <c r="AD58" s="320">
        <v>7.548387096774192</v>
      </c>
      <c r="AE58" s="20">
        <v>6.197318057836213</v>
      </c>
      <c r="AF58" s="20">
        <f t="shared" ref="AF58:AG58" si="113">1/AD58</f>
        <v>0.1324786325</v>
      </c>
      <c r="AG58" s="321">
        <f t="shared" si="113"/>
        <v>0.1613601223</v>
      </c>
      <c r="AH58" s="320">
        <v>15.97132616487455</v>
      </c>
      <c r="AI58" s="20">
        <v>5.075859199580501</v>
      </c>
      <c r="AJ58" s="20">
        <f t="shared" ref="AJ58:AK58" si="114">1/AH58</f>
        <v>0.06261220826</v>
      </c>
      <c r="AK58" s="321">
        <f t="shared" si="114"/>
        <v>0.1970109809</v>
      </c>
      <c r="AW58" s="319">
        <v>50.0</v>
      </c>
      <c r="AX58" s="320">
        <v>2.351254480286738</v>
      </c>
      <c r="AY58" s="20">
        <v>7.230123505633468</v>
      </c>
      <c r="AZ58" s="20">
        <f t="shared" ref="AZ58:BA58" si="115">1/AX58</f>
        <v>0.425304878</v>
      </c>
      <c r="BA58" s="321">
        <f t="shared" si="115"/>
        <v>0.1383102238</v>
      </c>
      <c r="BB58" s="320">
        <v>9.519713261648745</v>
      </c>
      <c r="BC58" s="20">
        <v>6.326509740684451</v>
      </c>
      <c r="BD58" s="20">
        <f t="shared" ref="BD58:BE58" si="116">1/BB58</f>
        <v>0.1050451807</v>
      </c>
      <c r="BE58" s="321">
        <f t="shared" si="116"/>
        <v>0.1580650376</v>
      </c>
      <c r="BF58" s="320">
        <v>5.577060931899641</v>
      </c>
      <c r="BG58" s="20">
        <v>6.836149120802889</v>
      </c>
      <c r="BH58" s="20">
        <f t="shared" ref="BH58:BI58" si="117">1/BF58</f>
        <v>0.1793059126</v>
      </c>
      <c r="BI58" s="321">
        <f t="shared" si="117"/>
        <v>0.1462811858</v>
      </c>
    </row>
    <row r="59" ht="15.75" hidden="1" customHeight="1">
      <c r="A59" s="319">
        <v>75.0</v>
      </c>
      <c r="B59" s="151">
        <v>2.3512544802867383</v>
      </c>
      <c r="C59" s="11">
        <v>13.04230785167831</v>
      </c>
      <c r="D59" s="43">
        <f t="shared" ref="D59:E59" si="118">1/B59</f>
        <v>0.425304878</v>
      </c>
      <c r="E59" s="125">
        <f t="shared" si="118"/>
        <v>0.07667354669</v>
      </c>
      <c r="F59" s="151">
        <v>57.189964157706086</v>
      </c>
      <c r="G59" s="11">
        <v>5.612546856856714</v>
      </c>
      <c r="H59" s="43">
        <f t="shared" ref="H59:I59" si="119">1/F59</f>
        <v>0.01748558536</v>
      </c>
      <c r="I59" s="125">
        <f t="shared" si="119"/>
        <v>0.1781722319</v>
      </c>
      <c r="J59" s="151">
        <v>32.63799283154122</v>
      </c>
      <c r="K59" s="11">
        <v>8.833198692120565</v>
      </c>
      <c r="L59" s="43">
        <f t="shared" ref="L59:M59" si="120">1/J59</f>
        <v>0.03063913903</v>
      </c>
      <c r="M59" s="125">
        <f t="shared" si="120"/>
        <v>0.1132092728</v>
      </c>
      <c r="Y59" s="319">
        <v>75.0</v>
      </c>
      <c r="Z59" s="320">
        <v>4.860215053763441</v>
      </c>
      <c r="AA59" s="20">
        <v>10.772858799528137</v>
      </c>
      <c r="AB59" s="20">
        <f t="shared" ref="AB59:AC59" si="121">1/Z59</f>
        <v>0.2057522124</v>
      </c>
      <c r="AC59" s="321">
        <f t="shared" si="121"/>
        <v>0.09282587089</v>
      </c>
      <c r="AD59" s="320">
        <v>16.688172043010752</v>
      </c>
      <c r="AE59" s="20">
        <v>9.218974999260887</v>
      </c>
      <c r="AF59" s="20">
        <f t="shared" ref="AF59:AG59" si="122">1/AD59</f>
        <v>0.05992268041</v>
      </c>
      <c r="AG59" s="321">
        <f t="shared" si="122"/>
        <v>0.1084719288</v>
      </c>
      <c r="AH59" s="320">
        <v>32.817204301075265</v>
      </c>
      <c r="AI59" s="20">
        <v>7.046960748799184</v>
      </c>
      <c r="AJ59" s="20">
        <f t="shared" ref="AJ59:AK59" si="123">1/AH59</f>
        <v>0.03047182176</v>
      </c>
      <c r="AK59" s="321">
        <f t="shared" si="123"/>
        <v>0.1419051469</v>
      </c>
      <c r="AW59" s="319">
        <v>75.0</v>
      </c>
      <c r="AX59" s="320">
        <v>2.5304659498207887</v>
      </c>
      <c r="AY59" s="20">
        <v>11.019271082905224</v>
      </c>
      <c r="AZ59" s="20">
        <f t="shared" ref="AZ59:BA59" si="124">1/AX59</f>
        <v>0.395184136</v>
      </c>
      <c r="BA59" s="321">
        <f t="shared" si="124"/>
        <v>0.09075010429</v>
      </c>
      <c r="BB59" s="320">
        <v>21.34767025089606</v>
      </c>
      <c r="BC59" s="20">
        <v>8.482348979232412</v>
      </c>
      <c r="BD59" s="20">
        <f t="shared" ref="BD59:BE59" si="125">1/BB59</f>
        <v>0.04684351914</v>
      </c>
      <c r="BE59" s="321">
        <f t="shared" si="125"/>
        <v>0.117891872</v>
      </c>
      <c r="BF59" s="320">
        <v>9.519713261648743</v>
      </c>
      <c r="BG59" s="20">
        <v>11.249502421847936</v>
      </c>
      <c r="BH59" s="20">
        <f t="shared" ref="BH59:BI59" si="126">1/BF59</f>
        <v>0.1050451807</v>
      </c>
      <c r="BI59" s="321">
        <f t="shared" si="126"/>
        <v>0.08889282054</v>
      </c>
    </row>
    <row r="60" ht="15.75" hidden="1" customHeight="1">
      <c r="A60" s="319">
        <v>100.0</v>
      </c>
      <c r="B60" s="151">
        <v>6.831541218637992</v>
      </c>
      <c r="C60" s="11">
        <v>14.567819227317436</v>
      </c>
      <c r="D60" s="43">
        <f t="shared" ref="D60:E60" si="127">1/B60</f>
        <v>0.1463798531</v>
      </c>
      <c r="E60" s="125">
        <f t="shared" si="127"/>
        <v>0.06864445422</v>
      </c>
      <c r="F60" s="151">
        <v>65.0</v>
      </c>
      <c r="G60" s="11">
        <v>7.0</v>
      </c>
      <c r="H60" s="43">
        <f t="shared" ref="H60:I60" si="128">1/F60</f>
        <v>0.01538461538</v>
      </c>
      <c r="I60" s="125">
        <f t="shared" si="128"/>
        <v>0.1428571429</v>
      </c>
      <c r="J60" s="151">
        <v>38.19354838709677</v>
      </c>
      <c r="K60" s="11">
        <v>10.49759050607947</v>
      </c>
      <c r="L60" s="43">
        <f t="shared" ref="L60:M60" si="129">1/J60</f>
        <v>0.02618243243</v>
      </c>
      <c r="M60" s="125">
        <f t="shared" si="129"/>
        <v>0.09525995507</v>
      </c>
      <c r="Y60" s="319">
        <v>100.0</v>
      </c>
      <c r="Z60" s="320">
        <v>5.935483870967742</v>
      </c>
      <c r="AA60" s="20">
        <v>13.901898408523735</v>
      </c>
      <c r="AB60" s="20">
        <f t="shared" ref="AB60:AC60" si="130">1/Z60</f>
        <v>0.1684782609</v>
      </c>
      <c r="AC60" s="321">
        <f t="shared" si="130"/>
        <v>0.07193262176</v>
      </c>
      <c r="AD60" s="320">
        <v>26.00716845878136</v>
      </c>
      <c r="AE60" s="20">
        <v>11.206051440959174</v>
      </c>
      <c r="AF60" s="20">
        <f t="shared" ref="AF60:AG60" si="131">1/AD60</f>
        <v>0.03845093716</v>
      </c>
      <c r="AG60" s="321">
        <f t="shared" si="131"/>
        <v>0.08923749862</v>
      </c>
      <c r="AH60" s="320">
        <v>52.35125448028673</v>
      </c>
      <c r="AI60" s="20">
        <v>7.793846654304835</v>
      </c>
      <c r="AJ60" s="20">
        <f t="shared" ref="AJ60:AK60" si="132">1/AH60</f>
        <v>0.01910173901</v>
      </c>
      <c r="AK60" s="321">
        <f t="shared" si="132"/>
        <v>0.1283063479</v>
      </c>
      <c r="AW60" s="319">
        <v>100.0</v>
      </c>
      <c r="AX60" s="320">
        <v>2.8888888888888884</v>
      </c>
      <c r="AY60" s="20">
        <v>14.143820326926342</v>
      </c>
      <c r="AZ60" s="20">
        <f t="shared" ref="AZ60:BA60" si="133">1/AX60</f>
        <v>0.3461538462</v>
      </c>
      <c r="BA60" s="321">
        <f t="shared" si="133"/>
        <v>0.07070225561</v>
      </c>
      <c r="BB60" s="320">
        <v>31.025089605734763</v>
      </c>
      <c r="BC60" s="20">
        <v>10.459936833883226</v>
      </c>
      <c r="BD60" s="20">
        <f t="shared" ref="BD60:BE60" si="134">1/BB60</f>
        <v>0.03223197782</v>
      </c>
      <c r="BE60" s="321">
        <f t="shared" si="134"/>
        <v>0.09560287178</v>
      </c>
      <c r="BF60" s="320">
        <v>15.97132616487455</v>
      </c>
      <c r="BG60" s="20">
        <v>12.43190091644241</v>
      </c>
      <c r="BH60" s="20">
        <f t="shared" ref="BH60:BI60" si="135">1/BF60</f>
        <v>0.06261220826</v>
      </c>
      <c r="BI60" s="321">
        <f t="shared" si="135"/>
        <v>0.08043822153</v>
      </c>
    </row>
    <row r="61" ht="15.75" hidden="1" customHeight="1">
      <c r="A61" s="319">
        <v>150.0</v>
      </c>
      <c r="B61" s="151">
        <v>12.387096774193548</v>
      </c>
      <c r="C61" s="11">
        <v>19.079139057562784</v>
      </c>
      <c r="D61" s="43">
        <f t="shared" ref="D61:E61" si="136">1/B61</f>
        <v>0.08072916667</v>
      </c>
      <c r="E61" s="125">
        <f t="shared" si="136"/>
        <v>0.0524132665</v>
      </c>
      <c r="F61" s="151">
        <v>100.55913978494621</v>
      </c>
      <c r="G61" s="11">
        <v>7.168784841064191</v>
      </c>
      <c r="H61" s="43">
        <f t="shared" ref="H61:I61" si="137">1/F61</f>
        <v>0.00994439692</v>
      </c>
      <c r="I61" s="125">
        <f t="shared" si="137"/>
        <v>0.1394936551</v>
      </c>
      <c r="J61" s="151">
        <v>73.49820788530465</v>
      </c>
      <c r="K61" s="11">
        <v>10.738208905573646</v>
      </c>
      <c r="L61" s="43">
        <f t="shared" ref="L61:M61" si="138">1/J61</f>
        <v>0.01360577392</v>
      </c>
      <c r="M61" s="125">
        <f t="shared" si="138"/>
        <v>0.09312540004</v>
      </c>
      <c r="Y61" s="319">
        <v>150.0</v>
      </c>
      <c r="Z61" s="320">
        <v>5.577060931899641</v>
      </c>
      <c r="AA61" s="20">
        <v>18.301508975302504</v>
      </c>
      <c r="AB61" s="20">
        <f t="shared" ref="AB61:AC61" si="139">1/Z61</f>
        <v>0.1793059126</v>
      </c>
      <c r="AC61" s="321">
        <f t="shared" si="139"/>
        <v>0.05464030323</v>
      </c>
      <c r="AD61" s="320">
        <v>48.76702508960573</v>
      </c>
      <c r="AE61" s="20">
        <v>12.400822397213869</v>
      </c>
      <c r="AF61" s="20">
        <f t="shared" ref="AF61:AG61" si="140">1/AD61</f>
        <v>0.02050565927</v>
      </c>
      <c r="AG61" s="321">
        <f t="shared" si="140"/>
        <v>0.08063981307</v>
      </c>
      <c r="AH61" s="320">
        <v>76.00716845878135</v>
      </c>
      <c r="AI61" s="20">
        <v>8.901544665920543</v>
      </c>
      <c r="AJ61" s="20">
        <f t="shared" ref="AJ61:AK61" si="141">1/AH61</f>
        <v>0.01315665378</v>
      </c>
      <c r="AK61" s="321">
        <f t="shared" si="141"/>
        <v>0.1123400531</v>
      </c>
      <c r="AW61" s="319">
        <v>150.0</v>
      </c>
      <c r="AX61" s="320">
        <v>7.189964157706092</v>
      </c>
      <c r="AY61" s="20">
        <v>19.50992466132772</v>
      </c>
      <c r="AZ61" s="20">
        <f t="shared" ref="AZ61:BA61" si="142">1/AX61</f>
        <v>0.1390827517</v>
      </c>
      <c r="BA61" s="321">
        <f t="shared" si="142"/>
        <v>0.0512559642</v>
      </c>
      <c r="BB61" s="320">
        <v>71.8853046594982</v>
      </c>
      <c r="BC61" s="20">
        <v>10.991758928743177</v>
      </c>
      <c r="BD61" s="20">
        <f t="shared" ref="BD61:BE61" si="143">1/BB61</f>
        <v>0.01391104906</v>
      </c>
      <c r="BE61" s="321">
        <f t="shared" si="143"/>
        <v>0.09097725</v>
      </c>
      <c r="BF61" s="320">
        <v>53.24731182795699</v>
      </c>
      <c r="BG61" s="20">
        <v>13.516967690823842</v>
      </c>
      <c r="BH61" s="20">
        <f t="shared" ref="BH61:BI61" si="144">1/BF61</f>
        <v>0.01878029079</v>
      </c>
      <c r="BI61" s="321">
        <f t="shared" si="144"/>
        <v>0.07398108976</v>
      </c>
    </row>
    <row r="62" ht="15.75" hidden="1" customHeight="1">
      <c r="A62" s="319">
        <v>250.0</v>
      </c>
      <c r="B62" s="213">
        <v>48.767025089605724</v>
      </c>
      <c r="C62" s="214">
        <v>19.867549668874176</v>
      </c>
      <c r="D62" s="111">
        <f t="shared" ref="D62:E62" si="145">1/B62</f>
        <v>0.02050565927</v>
      </c>
      <c r="E62" s="127">
        <f t="shared" si="145"/>
        <v>0.05033333333</v>
      </c>
      <c r="F62" s="213">
        <v>138.55197132616485</v>
      </c>
      <c r="G62" s="214">
        <v>7.8591861771302955</v>
      </c>
      <c r="H62" s="111">
        <f t="shared" ref="H62:I62" si="146">1/F62</f>
        <v>0.007217508278</v>
      </c>
      <c r="I62" s="127">
        <f t="shared" si="146"/>
        <v>0.1272396375</v>
      </c>
      <c r="J62" s="213">
        <v>121.16845878136199</v>
      </c>
      <c r="K62" s="214">
        <v>10.124392993091213</v>
      </c>
      <c r="L62" s="111">
        <f t="shared" ref="L62:M62" si="147">1/J62</f>
        <v>0.008252972845</v>
      </c>
      <c r="M62" s="127">
        <f t="shared" si="147"/>
        <v>0.09877135357</v>
      </c>
      <c r="Y62" s="319">
        <v>250.0</v>
      </c>
      <c r="Z62" s="322">
        <v>25.111111111111114</v>
      </c>
      <c r="AA62" s="323">
        <v>24.516421256319177</v>
      </c>
      <c r="AB62" s="323">
        <f t="shared" ref="AB62:AC62" si="148">1/Z62</f>
        <v>0.03982300885</v>
      </c>
      <c r="AC62" s="324">
        <f t="shared" si="148"/>
        <v>0.04078898749</v>
      </c>
      <c r="AD62" s="322">
        <v>103.06810035842292</v>
      </c>
      <c r="AE62" s="323">
        <v>14.34657601273193</v>
      </c>
      <c r="AF62" s="323">
        <f t="shared" ref="AF62:AG62" si="149">1/AD62</f>
        <v>0.009702322993</v>
      </c>
      <c r="AG62" s="324">
        <f t="shared" si="149"/>
        <v>0.06970304267</v>
      </c>
      <c r="AH62" s="322">
        <v>134.43010752688173</v>
      </c>
      <c r="AI62" s="323">
        <v>10.193206958112519</v>
      </c>
      <c r="AJ62" s="323">
        <f t="shared" ref="AJ62:AK62" si="150">1/AH62</f>
        <v>0.00743880979</v>
      </c>
      <c r="AK62" s="324">
        <f t="shared" si="150"/>
        <v>0.0981045518</v>
      </c>
      <c r="AW62" s="319">
        <v>250.0</v>
      </c>
      <c r="AX62" s="322">
        <v>86.93906810035841</v>
      </c>
      <c r="AY62" s="323">
        <v>26.893177852477017</v>
      </c>
      <c r="AZ62" s="323">
        <f t="shared" ref="AZ62:BA62" si="151">1/AX62</f>
        <v>0.01150230871</v>
      </c>
      <c r="BA62" s="324">
        <f t="shared" si="151"/>
        <v>0.03718415152</v>
      </c>
      <c r="BB62" s="322">
        <v>217.40501792114696</v>
      </c>
      <c r="BC62" s="323">
        <v>9.507213684410061</v>
      </c>
      <c r="BD62" s="323">
        <f t="shared" ref="BD62:BE62" si="152">1/BB62</f>
        <v>0.004599709839</v>
      </c>
      <c r="BE62" s="324">
        <f t="shared" si="152"/>
        <v>0.1051832885</v>
      </c>
      <c r="BF62" s="322">
        <v>167.2258064516129</v>
      </c>
      <c r="BG62" s="323">
        <v>16.2467013926002</v>
      </c>
      <c r="BH62" s="323">
        <f t="shared" ref="BH62:BI62" si="153">1/BF62</f>
        <v>0.005979938272</v>
      </c>
      <c r="BI62" s="324">
        <f t="shared" si="153"/>
        <v>0.06155095584</v>
      </c>
    </row>
    <row r="63" ht="15.75" hidden="1" customHeight="1">
      <c r="A63" s="319">
        <v>350.0</v>
      </c>
      <c r="Y63" s="319">
        <v>350.0</v>
      </c>
      <c r="AW63" s="319">
        <v>350.0</v>
      </c>
    </row>
    <row r="64" ht="15.75" hidden="1" customHeight="1"/>
    <row r="65" ht="15.75" hidden="1" customHeight="1"/>
    <row r="66" ht="15.75" hidden="1" customHeight="1">
      <c r="B66" s="325" t="s">
        <v>196</v>
      </c>
      <c r="C66" s="166" t="s">
        <v>364</v>
      </c>
      <c r="D66" s="167" t="s">
        <v>365</v>
      </c>
      <c r="E66" s="168" t="s">
        <v>366</v>
      </c>
      <c r="F66" s="325" t="s">
        <v>196</v>
      </c>
      <c r="G66" s="166" t="s">
        <v>364</v>
      </c>
      <c r="H66" s="167" t="s">
        <v>365</v>
      </c>
      <c r="I66" s="168" t="s">
        <v>367</v>
      </c>
      <c r="J66" s="326" t="s">
        <v>196</v>
      </c>
      <c r="K66" s="166" t="s">
        <v>364</v>
      </c>
      <c r="L66" s="167" t="s">
        <v>365</v>
      </c>
      <c r="M66" s="168" t="s">
        <v>368</v>
      </c>
      <c r="Z66" s="325" t="s">
        <v>196</v>
      </c>
      <c r="AA66" s="327" t="s">
        <v>364</v>
      </c>
      <c r="AB66" s="167" t="s">
        <v>365</v>
      </c>
      <c r="AC66" s="194" t="s">
        <v>369</v>
      </c>
      <c r="AD66" s="325" t="s">
        <v>196</v>
      </c>
      <c r="AE66" s="327" t="s">
        <v>364</v>
      </c>
      <c r="AF66" s="167" t="s">
        <v>365</v>
      </c>
      <c r="AG66" s="194" t="s">
        <v>370</v>
      </c>
      <c r="AH66" s="326" t="s">
        <v>196</v>
      </c>
      <c r="AI66" s="327" t="s">
        <v>364</v>
      </c>
      <c r="AJ66" s="167" t="s">
        <v>365</v>
      </c>
      <c r="AK66" s="168" t="s">
        <v>371</v>
      </c>
      <c r="AX66" s="328" t="s">
        <v>196</v>
      </c>
      <c r="AY66" s="166" t="s">
        <v>364</v>
      </c>
      <c r="AZ66" s="167" t="s">
        <v>365</v>
      </c>
      <c r="BA66" s="168" t="s">
        <v>372</v>
      </c>
      <c r="BB66" s="326" t="s">
        <v>196</v>
      </c>
      <c r="BC66" s="166" t="s">
        <v>364</v>
      </c>
      <c r="BD66" s="167" t="s">
        <v>365</v>
      </c>
      <c r="BE66" s="168" t="s">
        <v>373</v>
      </c>
      <c r="BF66" s="326" t="s">
        <v>196</v>
      </c>
      <c r="BG66" s="166" t="s">
        <v>364</v>
      </c>
      <c r="BH66" s="167" t="s">
        <v>365</v>
      </c>
      <c r="BI66" s="168" t="s">
        <v>374</v>
      </c>
    </row>
    <row r="67" ht="15.75" hidden="1" customHeight="1">
      <c r="B67" s="329">
        <f>1/0.0478</f>
        <v>20.92050209</v>
      </c>
      <c r="C67" s="322">
        <v>0.0469</v>
      </c>
      <c r="D67" s="323">
        <f>0.6478/C67</f>
        <v>13.81236674</v>
      </c>
      <c r="E67" s="256">
        <v>0.008</v>
      </c>
      <c r="F67" s="329">
        <f>1/0.1077</f>
        <v>9.285051068</v>
      </c>
      <c r="G67" s="322">
        <v>0.0337</v>
      </c>
      <c r="H67" s="323">
        <f>0.0062/G67</f>
        <v>0.1839762611</v>
      </c>
      <c r="I67" s="256">
        <v>0.3591</v>
      </c>
      <c r="J67" s="286">
        <f>1/0.0932</f>
        <v>10.72961373</v>
      </c>
      <c r="K67" s="322">
        <v>13.832</v>
      </c>
      <c r="L67" s="323">
        <f>-19.174/K67</f>
        <v>-1.386205899</v>
      </c>
      <c r="M67" s="256">
        <v>0.1551</v>
      </c>
      <c r="Z67" s="329">
        <f>1/0.027</f>
        <v>37.03703704</v>
      </c>
      <c r="AA67" s="330">
        <v>0.0126</v>
      </c>
      <c r="AB67" s="323">
        <f>0.2199/AA67</f>
        <v>17.45238095</v>
      </c>
      <c r="AC67" s="331">
        <v>0.0544</v>
      </c>
      <c r="AD67" s="329">
        <f>1/0.1077</f>
        <v>9.285051068</v>
      </c>
      <c r="AE67" s="330">
        <v>1.7182</v>
      </c>
      <c r="AF67" s="323">
        <f>0.0854/AE67</f>
        <v>0.04970317774</v>
      </c>
      <c r="AG67" s="331">
        <v>0.0236</v>
      </c>
      <c r="AH67" s="329">
        <f>1/0.0932</f>
        <v>10.72961373</v>
      </c>
      <c r="AI67" s="332">
        <v>9.0E-5</v>
      </c>
      <c r="AJ67" s="323">
        <f>0.1006/AI67</f>
        <v>1117.777778</v>
      </c>
      <c r="AK67" s="332">
        <v>1.0E-6</v>
      </c>
      <c r="AX67" s="333">
        <f>1/0.0354</f>
        <v>28.24858757</v>
      </c>
      <c r="AY67" s="334">
        <v>0.0954</v>
      </c>
      <c r="AZ67" s="335">
        <f>0.3112/AY67</f>
        <v>3.262054507</v>
      </c>
      <c r="BA67" s="304">
        <v>0.3416</v>
      </c>
      <c r="BB67" s="336">
        <f>1/0.104</f>
        <v>9.615384615</v>
      </c>
      <c r="BC67" s="334">
        <v>0.744</v>
      </c>
      <c r="BD67" s="335">
        <f>-0.6824/BC67</f>
        <v>-0.9172043011</v>
      </c>
      <c r="BE67" s="337">
        <v>0.3098</v>
      </c>
      <c r="BF67" s="336">
        <f>1/0.0594</f>
        <v>16.83501684</v>
      </c>
      <c r="BG67" s="338">
        <v>0.1057</v>
      </c>
      <c r="BH67" s="335">
        <f>0.0643/BG67</f>
        <v>0.6083254494</v>
      </c>
      <c r="BI67" s="304">
        <v>0.4002</v>
      </c>
    </row>
    <row r="68" ht="15.75" hidden="1" customHeight="1">
      <c r="A68" s="147"/>
      <c r="B68" s="191" t="s">
        <v>375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2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91" t="s">
        <v>376</v>
      </c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2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91" t="s">
        <v>377</v>
      </c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2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</row>
    <row r="69" ht="15.75" hidden="1" customHeight="1">
      <c r="A69" s="147"/>
      <c r="B69" s="339" t="s">
        <v>229</v>
      </c>
      <c r="C69" s="40"/>
      <c r="D69" s="340"/>
      <c r="E69" s="147"/>
      <c r="F69" s="341" t="s">
        <v>230</v>
      </c>
      <c r="G69" s="342"/>
      <c r="H69" s="343"/>
      <c r="I69" s="147"/>
      <c r="J69" s="339" t="s">
        <v>231</v>
      </c>
      <c r="K69" s="40"/>
      <c r="L69" s="340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315" t="s">
        <v>229</v>
      </c>
      <c r="AA69" s="314"/>
      <c r="AB69" s="234"/>
      <c r="AC69" s="147"/>
      <c r="AD69" s="315" t="s">
        <v>230</v>
      </c>
      <c r="AE69" s="314"/>
      <c r="AF69" s="234"/>
      <c r="AG69" s="147"/>
      <c r="AH69" s="315" t="s">
        <v>231</v>
      </c>
      <c r="AI69" s="314"/>
      <c r="AJ69" s="234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339" t="s">
        <v>229</v>
      </c>
      <c r="AY69" s="40"/>
      <c r="AZ69" s="340"/>
      <c r="BA69" s="147"/>
      <c r="BB69" s="339" t="s">
        <v>230</v>
      </c>
      <c r="BC69" s="40"/>
      <c r="BD69" s="340"/>
      <c r="BE69" s="147"/>
      <c r="BF69" s="339" t="s">
        <v>231</v>
      </c>
      <c r="BG69" s="40"/>
      <c r="BH69" s="340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</row>
    <row r="70" ht="15.75" hidden="1" customHeight="1">
      <c r="A70" s="258" t="s">
        <v>168</v>
      </c>
      <c r="B70" s="344" t="s">
        <v>378</v>
      </c>
      <c r="C70" s="50" t="s">
        <v>379</v>
      </c>
      <c r="D70" s="345" t="s">
        <v>380</v>
      </c>
      <c r="F70" s="344" t="s">
        <v>378</v>
      </c>
      <c r="G70" s="50" t="s">
        <v>379</v>
      </c>
      <c r="H70" s="345" t="s">
        <v>380</v>
      </c>
      <c r="J70" s="344" t="s">
        <v>378</v>
      </c>
      <c r="K70" s="50" t="s">
        <v>379</v>
      </c>
      <c r="L70" s="345" t="s">
        <v>380</v>
      </c>
      <c r="Y70" s="258" t="s">
        <v>168</v>
      </c>
      <c r="Z70" s="344" t="s">
        <v>378</v>
      </c>
      <c r="AA70" s="50" t="s">
        <v>379</v>
      </c>
      <c r="AB70" s="345" t="s">
        <v>380</v>
      </c>
      <c r="AD70" s="344" t="s">
        <v>378</v>
      </c>
      <c r="AE70" s="50" t="s">
        <v>379</v>
      </c>
      <c r="AF70" s="345" t="s">
        <v>380</v>
      </c>
      <c r="AH70" s="344" t="s">
        <v>378</v>
      </c>
      <c r="AI70" s="50" t="s">
        <v>379</v>
      </c>
      <c r="AJ70" s="345" t="s">
        <v>380</v>
      </c>
      <c r="AW70" s="258" t="s">
        <v>168</v>
      </c>
      <c r="AX70" s="317" t="s">
        <v>378</v>
      </c>
      <c r="AY70" s="50" t="s">
        <v>379</v>
      </c>
      <c r="AZ70" s="318" t="s">
        <v>380</v>
      </c>
      <c r="BB70" s="317" t="s">
        <v>378</v>
      </c>
      <c r="BC70" s="50" t="s">
        <v>379</v>
      </c>
      <c r="BD70" s="318" t="s">
        <v>380</v>
      </c>
      <c r="BF70" s="317" t="s">
        <v>378</v>
      </c>
      <c r="BG70" s="50" t="s">
        <v>379</v>
      </c>
      <c r="BH70" s="318" t="s">
        <v>380</v>
      </c>
    </row>
    <row r="71" ht="15.75" hidden="1" customHeight="1">
      <c r="A71" s="319">
        <v>50.0</v>
      </c>
      <c r="B71" s="346">
        <f t="shared" ref="B71:B75" si="154">C58/$B$67</f>
        <v>0.4038206581</v>
      </c>
      <c r="C71" s="15">
        <f t="shared" ref="C71:C75" si="155">1/B71</f>
        <v>2.476346814</v>
      </c>
      <c r="D71" s="347">
        <f t="shared" ref="D71:D75" si="156">1/(B58*(1-B71))</f>
        <v>0.6628611698</v>
      </c>
      <c r="F71" s="346">
        <f t="shared" ref="F71:F75" si="157">G58/$F$67</f>
        <v>0.5439808539</v>
      </c>
      <c r="G71" s="15">
        <f t="shared" ref="G71:G75" si="158">1/F71</f>
        <v>1.838299993</v>
      </c>
      <c r="H71" s="347">
        <f t="shared" ref="H71:H75" si="159">1/(F58*(1-F71))</f>
        <v>0.07939481142</v>
      </c>
      <c r="J71" s="346">
        <f t="shared" ref="J71:J75" si="160">K58/$J$67</f>
        <v>0.6519245933</v>
      </c>
      <c r="K71" s="15">
        <f t="shared" ref="K71:K75" si="161">1/J71</f>
        <v>1.533919736</v>
      </c>
      <c r="L71" s="347">
        <f t="shared" ref="L71:L75" si="162">1/(J58*(1-J71))</f>
        <v>0.2222824329</v>
      </c>
      <c r="Y71" s="319">
        <v>50.0</v>
      </c>
      <c r="Z71" s="320">
        <f t="shared" ref="Z71:Z75" si="163">AA58/$Z$67</f>
        <v>0.1782343857</v>
      </c>
      <c r="AA71" s="20">
        <f t="shared" ref="AA71:AA75" si="164">1/Z71</f>
        <v>5.610589651</v>
      </c>
      <c r="AB71" s="321">
        <f t="shared" ref="AB71:AB75" si="165">1/(Z58*(1-Z71))</f>
        <v>0.2599639107</v>
      </c>
      <c r="AD71" s="320">
        <f t="shared" ref="AD71:AD75" si="166">AE58/$AD$67</f>
        <v>0.6674511548</v>
      </c>
      <c r="AE71" s="20">
        <f t="shared" ref="AE71:AE75" si="167">1/AD71</f>
        <v>1.498236976</v>
      </c>
      <c r="AF71" s="321">
        <f t="shared" ref="AF71:AF75" si="168">1/(AD58*(1-AD71))</f>
        <v>0.3983734552</v>
      </c>
      <c r="AH71" s="320">
        <f t="shared" ref="AH71:AH75" si="169">AI58/$AH$67</f>
        <v>0.4730700774</v>
      </c>
      <c r="AI71" s="20">
        <f t="shared" ref="AI71:AI75" si="170">1/AH71</f>
        <v>2.113851727</v>
      </c>
      <c r="AJ71" s="321">
        <f t="shared" ref="AJ71:AJ75" si="171">1/(AH58*(1-AH71))</f>
        <v>0.1188245449</v>
      </c>
      <c r="AW71" s="319">
        <v>50.0</v>
      </c>
      <c r="AX71" s="320">
        <f t="shared" ref="AX71:AX75" si="172">AY58/$AX$67</f>
        <v>0.2559463721</v>
      </c>
      <c r="AY71" s="20">
        <f t="shared" ref="AY71:AY75" si="173">1/AX71</f>
        <v>3.907068468</v>
      </c>
      <c r="AZ71" s="321">
        <f t="shared" ref="AZ71:AZ75" si="174">1/(AX58*(1-AX71))</f>
        <v>0.5716051399</v>
      </c>
      <c r="BB71" s="320">
        <f t="shared" ref="BB71:BB75" si="175">BC58/$BB$67</f>
        <v>0.657957013</v>
      </c>
      <c r="BC71" s="20">
        <f t="shared" ref="BC71:BC75" si="176">1/BB71</f>
        <v>1.519856131</v>
      </c>
      <c r="BD71" s="321">
        <f t="shared" ref="BD71:BD75" si="177">1/(BB58*(1-BB71))</f>
        <v>0.3071110496</v>
      </c>
      <c r="BF71" s="320">
        <f t="shared" ref="BF71:BF75" si="178">BG58/$BF$67</f>
        <v>0.4060672578</v>
      </c>
      <c r="BG71" s="20">
        <f t="shared" ref="BG71:BG75" si="179">1/BF71</f>
        <v>2.462646226</v>
      </c>
      <c r="BH71" s="321">
        <f t="shared" ref="BH71:BH75" si="180">1/(BF58*(1-BF71))</f>
        <v>0.301895989</v>
      </c>
    </row>
    <row r="72" ht="15.75" hidden="1" customHeight="1">
      <c r="A72" s="319">
        <v>75.0</v>
      </c>
      <c r="B72" s="346">
        <f t="shared" si="154"/>
        <v>0.6234223153</v>
      </c>
      <c r="C72" s="15">
        <f t="shared" si="155"/>
        <v>1.604049094</v>
      </c>
      <c r="D72" s="347">
        <f t="shared" si="156"/>
        <v>1.129394798</v>
      </c>
      <c r="F72" s="346">
        <f t="shared" si="157"/>
        <v>0.6044712965</v>
      </c>
      <c r="G72" s="15">
        <f t="shared" si="158"/>
        <v>1.654338272</v>
      </c>
      <c r="H72" s="347">
        <f t="shared" si="159"/>
        <v>0.04420813257</v>
      </c>
      <c r="J72" s="346">
        <f t="shared" si="160"/>
        <v>0.8232541181</v>
      </c>
      <c r="K72" s="15">
        <f t="shared" si="161"/>
        <v>1.214691768</v>
      </c>
      <c r="L72" s="347">
        <f t="shared" si="162"/>
        <v>0.1733513602</v>
      </c>
      <c r="Y72" s="319">
        <v>75.0</v>
      </c>
      <c r="Z72" s="320">
        <f t="shared" si="163"/>
        <v>0.2908671876</v>
      </c>
      <c r="AA72" s="20">
        <f t="shared" si="164"/>
        <v>3.437995218</v>
      </c>
      <c r="AB72" s="321">
        <f t="shared" si="165"/>
        <v>0.2901462304</v>
      </c>
      <c r="AD72" s="320">
        <f t="shared" si="166"/>
        <v>0.9928836074</v>
      </c>
      <c r="AE72" s="20">
        <f t="shared" si="167"/>
        <v>1.007167399</v>
      </c>
      <c r="AF72" s="321">
        <f t="shared" si="168"/>
        <v>8.420373067</v>
      </c>
      <c r="AH72" s="320">
        <f t="shared" si="169"/>
        <v>0.6567767418</v>
      </c>
      <c r="AI72" s="20">
        <f t="shared" si="170"/>
        <v>1.522587413</v>
      </c>
      <c r="AJ72" s="321">
        <f t="shared" si="171"/>
        <v>0.08878134283</v>
      </c>
      <c r="AW72" s="319">
        <v>75.0</v>
      </c>
      <c r="AX72" s="320">
        <f t="shared" si="172"/>
        <v>0.3900821963</v>
      </c>
      <c r="AY72" s="20">
        <f t="shared" si="173"/>
        <v>2.563562268</v>
      </c>
      <c r="AZ72" s="321">
        <f t="shared" si="174"/>
        <v>0.6479301532</v>
      </c>
      <c r="BB72" s="320">
        <f t="shared" si="175"/>
        <v>0.8821642938</v>
      </c>
      <c r="BC72" s="20">
        <f t="shared" si="176"/>
        <v>1.133575692</v>
      </c>
      <c r="BD72" s="321">
        <f t="shared" si="177"/>
        <v>0.3975324684</v>
      </c>
      <c r="BF72" s="320">
        <f t="shared" si="178"/>
        <v>0.6682204439</v>
      </c>
      <c r="BG72" s="20">
        <f t="shared" si="179"/>
        <v>1.49651213</v>
      </c>
      <c r="BH72" s="321">
        <f t="shared" si="180"/>
        <v>0.3166113728</v>
      </c>
    </row>
    <row r="73" ht="15.75" hidden="1" customHeight="1">
      <c r="A73" s="319">
        <v>100.0</v>
      </c>
      <c r="B73" s="346">
        <f t="shared" si="154"/>
        <v>0.6963417591</v>
      </c>
      <c r="C73" s="15">
        <f t="shared" si="155"/>
        <v>1.436076448</v>
      </c>
      <c r="D73" s="347">
        <f t="shared" si="156"/>
        <v>0.482054604</v>
      </c>
      <c r="F73" s="346">
        <f t="shared" si="157"/>
        <v>0.7539</v>
      </c>
      <c r="G73" s="15">
        <f t="shared" si="158"/>
        <v>1.326435867</v>
      </c>
      <c r="H73" s="347">
        <f t="shared" si="159"/>
        <v>0.06251367487</v>
      </c>
      <c r="J73" s="346">
        <f t="shared" si="160"/>
        <v>0.9783754352</v>
      </c>
      <c r="K73" s="15">
        <f t="shared" si="161"/>
        <v>1.022102522</v>
      </c>
      <c r="L73" s="347">
        <f t="shared" si="162"/>
        <v>1.210772685</v>
      </c>
      <c r="Y73" s="319">
        <v>100.0</v>
      </c>
      <c r="Z73" s="320">
        <f t="shared" si="163"/>
        <v>0.375351257</v>
      </c>
      <c r="AA73" s="20">
        <f t="shared" si="164"/>
        <v>2.664171176</v>
      </c>
      <c r="AB73" s="321">
        <f t="shared" si="165"/>
        <v>0.2697168013</v>
      </c>
      <c r="AD73" s="320">
        <f t="shared" si="166"/>
        <v>1.20689174</v>
      </c>
      <c r="AE73" s="20">
        <f t="shared" si="167"/>
        <v>0.8285747318</v>
      </c>
      <c r="AF73" s="321">
        <f t="shared" si="168"/>
        <v>-0.1858505183</v>
      </c>
      <c r="AH73" s="320">
        <f t="shared" si="169"/>
        <v>0.7263865082</v>
      </c>
      <c r="AI73" s="20">
        <f t="shared" si="170"/>
        <v>1.376677552</v>
      </c>
      <c r="AJ73" s="321">
        <f t="shared" si="171"/>
        <v>0.06981285493</v>
      </c>
      <c r="AW73" s="319">
        <v>100.0</v>
      </c>
      <c r="AX73" s="320">
        <f t="shared" si="172"/>
        <v>0.5006912396</v>
      </c>
      <c r="AY73" s="20">
        <f t="shared" si="173"/>
        <v>1.997238859</v>
      </c>
      <c r="AZ73" s="321">
        <f t="shared" si="174"/>
        <v>0.6932661183</v>
      </c>
      <c r="BB73" s="320">
        <f t="shared" si="175"/>
        <v>1.087833431</v>
      </c>
      <c r="BC73" s="20">
        <f t="shared" si="176"/>
        <v>0.9192583825</v>
      </c>
      <c r="BD73" s="321">
        <f t="shared" si="177"/>
        <v>-0.3669670825</v>
      </c>
      <c r="BF73" s="320">
        <f t="shared" si="178"/>
        <v>0.7384549144</v>
      </c>
      <c r="BG73" s="20">
        <f t="shared" si="179"/>
        <v>1.354178814</v>
      </c>
      <c r="BH73" s="321">
        <f t="shared" si="180"/>
        <v>0.2393935567</v>
      </c>
    </row>
    <row r="74" ht="15.75" hidden="1" customHeight="1">
      <c r="A74" s="319">
        <v>150.0</v>
      </c>
      <c r="B74" s="346">
        <f t="shared" si="154"/>
        <v>0.911982847</v>
      </c>
      <c r="C74" s="15">
        <f t="shared" si="155"/>
        <v>1.096511851</v>
      </c>
      <c r="D74" s="347">
        <f t="shared" si="156"/>
        <v>0.9171981128</v>
      </c>
      <c r="F74" s="346">
        <f t="shared" si="157"/>
        <v>0.7720781274</v>
      </c>
      <c r="G74" s="15">
        <f t="shared" si="158"/>
        <v>1.295205711</v>
      </c>
      <c r="H74" s="347">
        <f t="shared" si="159"/>
        <v>0.04363072664</v>
      </c>
      <c r="J74" s="346">
        <f t="shared" si="160"/>
        <v>1.00080107</v>
      </c>
      <c r="K74" s="15">
        <f t="shared" si="161"/>
        <v>0.9991995712</v>
      </c>
      <c r="L74" s="347">
        <f t="shared" si="162"/>
        <v>-16.98450064</v>
      </c>
      <c r="Y74" s="319">
        <v>150.0</v>
      </c>
      <c r="Z74" s="320">
        <f t="shared" si="163"/>
        <v>0.4941407423</v>
      </c>
      <c r="AA74" s="20">
        <f t="shared" si="164"/>
        <v>2.023714934</v>
      </c>
      <c r="AB74" s="321">
        <f t="shared" si="165"/>
        <v>0.3544581025</v>
      </c>
      <c r="AD74" s="320">
        <f t="shared" si="166"/>
        <v>1.335568572</v>
      </c>
      <c r="AE74" s="20">
        <f t="shared" si="167"/>
        <v>0.7487447824</v>
      </c>
      <c r="AF74" s="321">
        <f t="shared" si="168"/>
        <v>-0.06110721017</v>
      </c>
      <c r="AH74" s="320">
        <f t="shared" si="169"/>
        <v>0.8296239629</v>
      </c>
      <c r="AI74" s="20">
        <f t="shared" si="170"/>
        <v>1.205365376</v>
      </c>
      <c r="AJ74" s="321">
        <f t="shared" si="171"/>
        <v>0.0772212689</v>
      </c>
      <c r="AW74" s="319">
        <v>150.0</v>
      </c>
      <c r="AX74" s="320">
        <f t="shared" si="172"/>
        <v>0.690651333</v>
      </c>
      <c r="AY74" s="20">
        <f t="shared" si="173"/>
        <v>1.447908593</v>
      </c>
      <c r="AZ74" s="321">
        <f t="shared" si="174"/>
        <v>0.4495986781</v>
      </c>
      <c r="BB74" s="320">
        <f t="shared" si="175"/>
        <v>1.143142929</v>
      </c>
      <c r="BC74" s="20">
        <f t="shared" si="176"/>
        <v>0.87478125</v>
      </c>
      <c r="BD74" s="321">
        <f t="shared" si="177"/>
        <v>-0.09718292898</v>
      </c>
      <c r="BF74" s="320">
        <f t="shared" si="178"/>
        <v>0.8029078808</v>
      </c>
      <c r="BG74" s="20">
        <f t="shared" si="179"/>
        <v>1.245472892</v>
      </c>
      <c r="BH74" s="321">
        <f t="shared" si="180"/>
        <v>0.09528686825</v>
      </c>
    </row>
    <row r="75" ht="15.75" hidden="1" customHeight="1">
      <c r="A75" s="319">
        <v>250.0</v>
      </c>
      <c r="B75" s="338">
        <f t="shared" si="154"/>
        <v>0.9496688742</v>
      </c>
      <c r="C75" s="303">
        <f t="shared" si="155"/>
        <v>1.052998605</v>
      </c>
      <c r="D75" s="348">
        <f t="shared" si="156"/>
        <v>0.4074150723</v>
      </c>
      <c r="F75" s="338">
        <f t="shared" si="157"/>
        <v>0.8464343513</v>
      </c>
      <c r="G75" s="303">
        <f t="shared" si="158"/>
        <v>1.181426532</v>
      </c>
      <c r="H75" s="348">
        <f t="shared" si="159"/>
        <v>0.04699949721</v>
      </c>
      <c r="J75" s="338">
        <f t="shared" si="160"/>
        <v>0.943593427</v>
      </c>
      <c r="K75" s="303">
        <f t="shared" si="161"/>
        <v>1.059778472</v>
      </c>
      <c r="L75" s="348">
        <f t="shared" si="162"/>
        <v>0.146312254</v>
      </c>
      <c r="Y75" s="319">
        <v>250.0</v>
      </c>
      <c r="Z75" s="322">
        <f t="shared" si="163"/>
        <v>0.6619433739</v>
      </c>
      <c r="AA75" s="323">
        <f t="shared" si="164"/>
        <v>1.51070324</v>
      </c>
      <c r="AB75" s="324">
        <f t="shared" si="165"/>
        <v>0.1177998175</v>
      </c>
      <c r="AD75" s="322">
        <f t="shared" si="166"/>
        <v>1.545126237</v>
      </c>
      <c r="AE75" s="323">
        <f t="shared" si="167"/>
        <v>0.6471963108</v>
      </c>
      <c r="AF75" s="324">
        <f t="shared" si="168"/>
        <v>-0.01779830495</v>
      </c>
      <c r="AH75" s="322">
        <f t="shared" si="169"/>
        <v>0.9500068885</v>
      </c>
      <c r="AI75" s="323">
        <f t="shared" si="170"/>
        <v>1.052623946</v>
      </c>
      <c r="AJ75" s="324">
        <f t="shared" si="171"/>
        <v>0.1487966955</v>
      </c>
      <c r="AW75" s="319">
        <v>250.0</v>
      </c>
      <c r="AX75" s="322">
        <f t="shared" si="172"/>
        <v>0.952018496</v>
      </c>
      <c r="AY75" s="323">
        <f t="shared" si="173"/>
        <v>1.05039976</v>
      </c>
      <c r="AZ75" s="324">
        <f t="shared" si="174"/>
        <v>0.2397238049</v>
      </c>
      <c r="BB75" s="322">
        <f t="shared" si="175"/>
        <v>0.9887502232</v>
      </c>
      <c r="BC75" s="323">
        <f t="shared" si="176"/>
        <v>1.011377774</v>
      </c>
      <c r="BD75" s="324">
        <f t="shared" si="177"/>
        <v>0.408871208</v>
      </c>
      <c r="BF75" s="322">
        <f t="shared" si="178"/>
        <v>0.9650540627</v>
      </c>
      <c r="BG75" s="323">
        <f t="shared" si="179"/>
        <v>1.036211378</v>
      </c>
      <c r="BH75" s="324">
        <f t="shared" si="180"/>
        <v>0.1711196991</v>
      </c>
    </row>
    <row r="76" ht="15.75" hidden="1" customHeight="1">
      <c r="A76" s="319">
        <v>350.0</v>
      </c>
      <c r="Y76" s="319">
        <v>350.0</v>
      </c>
      <c r="AW76" s="319">
        <v>350.0</v>
      </c>
    </row>
    <row r="77" ht="15.75" hidden="1" customHeight="1"/>
    <row r="78" ht="15.75" hidden="1" customHeight="1"/>
    <row r="79" ht="15.75" hidden="1" customHeight="1">
      <c r="B79" s="166" t="s">
        <v>381</v>
      </c>
      <c r="C79" s="167" t="s">
        <v>382</v>
      </c>
      <c r="D79" s="168" t="s">
        <v>383</v>
      </c>
      <c r="E79" s="5"/>
      <c r="F79" s="166" t="s">
        <v>384</v>
      </c>
      <c r="G79" s="167" t="s">
        <v>385</v>
      </c>
      <c r="H79" s="168" t="s">
        <v>386</v>
      </c>
      <c r="I79" s="5"/>
      <c r="J79" s="166" t="s">
        <v>387</v>
      </c>
      <c r="K79" s="167" t="s">
        <v>388</v>
      </c>
      <c r="L79" s="168" t="s">
        <v>389</v>
      </c>
      <c r="Z79" s="166" t="s">
        <v>390</v>
      </c>
      <c r="AA79" s="167" t="s">
        <v>391</v>
      </c>
      <c r="AB79" s="168" t="s">
        <v>392</v>
      </c>
      <c r="AD79" s="166" t="s">
        <v>393</v>
      </c>
      <c r="AE79" s="167" t="s">
        <v>394</v>
      </c>
      <c r="AF79" s="168" t="s">
        <v>395</v>
      </c>
      <c r="AH79" s="166" t="s">
        <v>396</v>
      </c>
      <c r="AI79" s="167" t="s">
        <v>397</v>
      </c>
      <c r="AJ79" s="168" t="s">
        <v>398</v>
      </c>
      <c r="AX79" s="166" t="s">
        <v>399</v>
      </c>
      <c r="AY79" s="167" t="s">
        <v>400</v>
      </c>
      <c r="AZ79" s="168" t="s">
        <v>401</v>
      </c>
      <c r="BB79" s="166" t="s">
        <v>402</v>
      </c>
      <c r="BC79" s="167" t="s">
        <v>403</v>
      </c>
      <c r="BD79" s="168" t="s">
        <v>404</v>
      </c>
      <c r="BF79" s="166" t="s">
        <v>405</v>
      </c>
      <c r="BG79" s="167" t="s">
        <v>406</v>
      </c>
      <c r="BH79" s="168" t="s">
        <v>407</v>
      </c>
    </row>
    <row r="80" ht="15.75" hidden="1" customHeight="1">
      <c r="B80" s="349">
        <f>-(1/(-2.0125))</f>
        <v>0.4968944099</v>
      </c>
      <c r="C80" s="111">
        <f>EXP(6.0028/B80)</f>
        <v>176422.1533</v>
      </c>
      <c r="D80" s="127">
        <v>0.4962</v>
      </c>
      <c r="E80" s="226"/>
      <c r="F80" s="349">
        <f>-(1/(-3.0169))</f>
        <v>0.3314660744</v>
      </c>
      <c r="G80" s="111">
        <f>EXP(5.2122/F80)</f>
        <v>6747523.995</v>
      </c>
      <c r="H80" s="127">
        <v>0.5728</v>
      </c>
      <c r="I80" s="226"/>
      <c r="J80" s="349">
        <f>-(1/(-2.107))</f>
        <v>0.474608448</v>
      </c>
      <c r="K80" s="111">
        <f>EXP(1.5764/J80)</f>
        <v>27.70117414</v>
      </c>
      <c r="L80" s="304">
        <v>0.7606</v>
      </c>
      <c r="Z80" s="349">
        <f>-(1/(-0.0459))</f>
        <v>21.78649237</v>
      </c>
      <c r="AA80" s="111">
        <f>EXP(0.7504/Z80)</f>
        <v>1.035043402</v>
      </c>
      <c r="AB80" s="304">
        <v>0.0024</v>
      </c>
      <c r="AC80" s="5"/>
      <c r="AD80" s="349">
        <f>-(1/(-1.9685))</f>
        <v>0.508001016</v>
      </c>
      <c r="AE80" s="111">
        <f>EXP(3.5891/AD80)</f>
        <v>1170.449743</v>
      </c>
      <c r="AF80" s="304">
        <v>0.853</v>
      </c>
      <c r="AG80" s="5"/>
      <c r="AH80" s="349">
        <f>-(1/(-2.0313))</f>
        <v>0.4922955743</v>
      </c>
      <c r="AI80" s="111">
        <f>EXP(2.2562/AH80)</f>
        <v>97.80924087</v>
      </c>
      <c r="AJ80" s="304">
        <v>0.9538</v>
      </c>
      <c r="AX80" s="349">
        <f>-(1/(-1.5447))</f>
        <v>0.6473748948</v>
      </c>
      <c r="AY80" s="111">
        <f>EXP(4.9074/AX80)</f>
        <v>1959.53167</v>
      </c>
      <c r="AZ80" s="304">
        <v>0.4803</v>
      </c>
      <c r="BA80" s="5"/>
      <c r="BB80" s="349">
        <f>-(1/(-2.6984))</f>
        <v>0.3705899792</v>
      </c>
      <c r="BC80" s="111">
        <f>EXP(4.4401/BB80)</f>
        <v>159718.1279</v>
      </c>
      <c r="BD80" s="304">
        <v>0.3133</v>
      </c>
      <c r="BE80" s="5"/>
      <c r="BF80" s="349">
        <f>-(1/(-2.6656))</f>
        <v>0.37515006</v>
      </c>
      <c r="BG80" s="111">
        <f>EXP(5.1867/BF80)</f>
        <v>1010208.719</v>
      </c>
      <c r="BH80" s="304">
        <v>0.6147</v>
      </c>
    </row>
    <row r="81" ht="15.75" hidden="1" customHeight="1">
      <c r="A81" s="147"/>
      <c r="B81" s="350" t="s">
        <v>408</v>
      </c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2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91" t="s">
        <v>409</v>
      </c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2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91" t="s">
        <v>410</v>
      </c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2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</row>
    <row r="82" ht="15.75" hidden="1" customHeight="1">
      <c r="A82" s="147"/>
      <c r="B82" s="315" t="s">
        <v>229</v>
      </c>
      <c r="C82" s="314"/>
      <c r="D82" s="314"/>
      <c r="E82" s="234"/>
      <c r="F82" s="315" t="s">
        <v>230</v>
      </c>
      <c r="G82" s="314"/>
      <c r="H82" s="314"/>
      <c r="I82" s="234"/>
      <c r="J82" s="315" t="s">
        <v>231</v>
      </c>
      <c r="K82" s="314"/>
      <c r="L82" s="314"/>
      <c r="M82" s="234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315" t="s">
        <v>229</v>
      </c>
      <c r="AA82" s="314"/>
      <c r="AB82" s="314"/>
      <c r="AC82" s="234"/>
      <c r="AD82" s="315" t="s">
        <v>230</v>
      </c>
      <c r="AE82" s="314"/>
      <c r="AF82" s="314"/>
      <c r="AG82" s="234"/>
      <c r="AH82" s="315" t="s">
        <v>231</v>
      </c>
      <c r="AI82" s="314"/>
      <c r="AJ82" s="314"/>
      <c r="AK82" s="234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315" t="s">
        <v>229</v>
      </c>
      <c r="AY82" s="314"/>
      <c r="AZ82" s="314"/>
      <c r="BA82" s="234"/>
      <c r="BB82" s="315" t="s">
        <v>230</v>
      </c>
      <c r="BC82" s="314"/>
      <c r="BD82" s="314"/>
      <c r="BE82" s="234"/>
      <c r="BF82" s="315" t="s">
        <v>231</v>
      </c>
      <c r="BG82" s="314"/>
      <c r="BH82" s="314"/>
      <c r="BI82" s="234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</row>
    <row r="83" ht="15.75" hidden="1" customHeight="1">
      <c r="A83" s="258" t="s">
        <v>168</v>
      </c>
      <c r="B83" s="317" t="s">
        <v>232</v>
      </c>
      <c r="C83" s="50" t="s">
        <v>233</v>
      </c>
      <c r="D83" s="50" t="s">
        <v>411</v>
      </c>
      <c r="E83" s="318" t="s">
        <v>412</v>
      </c>
      <c r="F83" s="317" t="s">
        <v>232</v>
      </c>
      <c r="G83" s="50" t="s">
        <v>233</v>
      </c>
      <c r="H83" s="50" t="s">
        <v>411</v>
      </c>
      <c r="I83" s="318" t="s">
        <v>412</v>
      </c>
      <c r="J83" s="317" t="s">
        <v>232</v>
      </c>
      <c r="K83" s="50" t="s">
        <v>233</v>
      </c>
      <c r="L83" s="50" t="s">
        <v>411</v>
      </c>
      <c r="M83" s="318" t="s">
        <v>412</v>
      </c>
      <c r="Y83" s="258" t="s">
        <v>168</v>
      </c>
      <c r="Z83" s="317" t="s">
        <v>232</v>
      </c>
      <c r="AA83" s="50" t="s">
        <v>233</v>
      </c>
      <c r="AB83" s="50" t="s">
        <v>411</v>
      </c>
      <c r="AC83" s="318" t="s">
        <v>412</v>
      </c>
      <c r="AD83" s="317" t="s">
        <v>232</v>
      </c>
      <c r="AE83" s="50" t="s">
        <v>233</v>
      </c>
      <c r="AF83" s="50" t="s">
        <v>411</v>
      </c>
      <c r="AG83" s="318" t="s">
        <v>412</v>
      </c>
      <c r="AH83" s="317" t="s">
        <v>232</v>
      </c>
      <c r="AI83" s="50" t="s">
        <v>233</v>
      </c>
      <c r="AJ83" s="50" t="s">
        <v>411</v>
      </c>
      <c r="AK83" s="318" t="s">
        <v>412</v>
      </c>
      <c r="AW83" s="258" t="s">
        <v>168</v>
      </c>
      <c r="AX83" s="317" t="s">
        <v>232</v>
      </c>
      <c r="AY83" s="50" t="s">
        <v>233</v>
      </c>
      <c r="AZ83" s="50" t="s">
        <v>411</v>
      </c>
      <c r="BA83" s="318" t="s">
        <v>412</v>
      </c>
      <c r="BB83" s="317" t="s">
        <v>232</v>
      </c>
      <c r="BC83" s="50" t="s">
        <v>233</v>
      </c>
      <c r="BD83" s="50" t="s">
        <v>411</v>
      </c>
      <c r="BE83" s="318" t="s">
        <v>412</v>
      </c>
      <c r="BF83" s="317" t="s">
        <v>232</v>
      </c>
      <c r="BG83" s="50" t="s">
        <v>233</v>
      </c>
      <c r="BH83" s="50" t="s">
        <v>411</v>
      </c>
      <c r="BI83" s="318" t="s">
        <v>412</v>
      </c>
    </row>
    <row r="84" ht="15.75" hidden="1" customHeight="1">
      <c r="A84" s="319">
        <v>50.0</v>
      </c>
      <c r="B84" s="320">
        <v>2.5304659498207887</v>
      </c>
      <c r="C84" s="20">
        <v>8.448130922589387</v>
      </c>
      <c r="D84" s="20">
        <f t="shared" ref="D84:D88" si="181">LN(C84)</f>
        <v>2.133945224</v>
      </c>
      <c r="E84" s="321">
        <f t="shared" ref="E84:E88" si="182">LN(C84/B84)</f>
        <v>1.205541769</v>
      </c>
      <c r="F84" s="320">
        <v>27.6200716845878</v>
      </c>
      <c r="G84" s="20">
        <v>5.050890008015365</v>
      </c>
      <c r="H84" s="20">
        <f t="shared" ref="H84:H88" si="183">LN(G84)</f>
        <v>1.619564467</v>
      </c>
      <c r="I84" s="321">
        <f t="shared" ref="I84:I88" si="184">LN(G84/F84)</f>
        <v>-1.698978276</v>
      </c>
      <c r="J84" s="320">
        <v>12.924731182795696</v>
      </c>
      <c r="K84" s="20">
        <v>6.994899069379541</v>
      </c>
      <c r="L84" s="20">
        <f t="shared" ref="L84:L88" si="185">LN(K84)</f>
        <v>1.945181179</v>
      </c>
      <c r="M84" s="321">
        <f t="shared" ref="M84:M88" si="186">LN(K84/J84)</f>
        <v>-0.6139614429</v>
      </c>
      <c r="Y84" s="319">
        <v>50.0</v>
      </c>
      <c r="Z84" s="320">
        <v>4.681003584229391</v>
      </c>
      <c r="AA84" s="20">
        <v>6.601273545336687</v>
      </c>
      <c r="AB84" s="20">
        <f t="shared" ref="AB84:AB88" si="187">LN(AA84)</f>
        <v>1.887262592</v>
      </c>
      <c r="AC84" s="321">
        <f t="shared" ref="AC84:AC88" si="188">LN(AA84/Z84)</f>
        <v>0.3437500638</v>
      </c>
      <c r="AD84" s="320">
        <v>7.548387096774192</v>
      </c>
      <c r="AE84" s="20">
        <v>6.197318057836213</v>
      </c>
      <c r="AF84" s="20">
        <f t="shared" ref="AF84:AF88" si="189">LN(AE84)</f>
        <v>1.824116627</v>
      </c>
      <c r="AG84" s="321">
        <f t="shared" ref="AG84:AG88" si="190">LN(AE84/AD84)</f>
        <v>-0.1972172837</v>
      </c>
      <c r="AH84" s="320">
        <v>15.97132616487455</v>
      </c>
      <c r="AI84" s="20">
        <v>5.075859199580501</v>
      </c>
      <c r="AJ84" s="20">
        <f t="shared" ref="AJ84:AJ88" si="191">LN(AI84)</f>
        <v>1.624495811</v>
      </c>
      <c r="AK84" s="321">
        <f t="shared" ref="AK84:AK88" si="192">LN(AI84/AH84)</f>
        <v>-1.146299189</v>
      </c>
      <c r="AW84" s="319">
        <v>50.0</v>
      </c>
      <c r="AX84" s="320">
        <v>2.351254480286738</v>
      </c>
      <c r="AY84" s="20">
        <v>7.230123505633468</v>
      </c>
      <c r="AZ84" s="20">
        <f t="shared" ref="AZ84:AZ88" si="193">LN(AY84)</f>
        <v>1.978256118</v>
      </c>
      <c r="BA84" s="321">
        <f t="shared" ref="BA84:BA88" si="194">LN(AY84/AX84)</f>
        <v>1.123307111</v>
      </c>
      <c r="BB84" s="320">
        <v>9.519713261648745</v>
      </c>
      <c r="BC84" s="20">
        <v>6.326509740684451</v>
      </c>
      <c r="BD84" s="20">
        <f t="shared" ref="BD84:BD88" si="195">LN(BC84)</f>
        <v>1.8447487</v>
      </c>
      <c r="BE84" s="321">
        <f t="shared" ref="BE84:BE88" si="196">LN(BC84/BB84)</f>
        <v>-0.4086160285</v>
      </c>
      <c r="BF84" s="320">
        <v>5.577060931899641</v>
      </c>
      <c r="BG84" s="20">
        <v>6.836149120802889</v>
      </c>
      <c r="BH84" s="20">
        <f t="shared" ref="BH84:BH88" si="197">LN(BG84)</f>
        <v>1.922224579</v>
      </c>
      <c r="BI84" s="321">
        <f t="shared" ref="BI84:BI88" si="198">LN(BG84/BF84)</f>
        <v>0.2035626561</v>
      </c>
    </row>
    <row r="85" ht="15.75" hidden="1" customHeight="1">
      <c r="A85" s="319">
        <v>75.0</v>
      </c>
      <c r="B85" s="320">
        <v>2.3512544802867383</v>
      </c>
      <c r="C85" s="20">
        <v>13.04230785167831</v>
      </c>
      <c r="D85" s="20">
        <f t="shared" si="181"/>
        <v>2.568198523</v>
      </c>
      <c r="E85" s="321">
        <f t="shared" si="182"/>
        <v>1.713249516</v>
      </c>
      <c r="F85" s="320">
        <v>57.189964157706086</v>
      </c>
      <c r="G85" s="20">
        <v>5.612546856856714</v>
      </c>
      <c r="H85" s="20">
        <f t="shared" si="183"/>
        <v>1.725004602</v>
      </c>
      <c r="I85" s="321">
        <f t="shared" si="184"/>
        <v>-2.32137383</v>
      </c>
      <c r="J85" s="320">
        <v>32.63799283154122</v>
      </c>
      <c r="K85" s="20">
        <v>8.833198692120565</v>
      </c>
      <c r="L85" s="20">
        <f t="shared" si="185"/>
        <v>2.178517202</v>
      </c>
      <c r="M85" s="321">
        <f t="shared" si="186"/>
        <v>-1.306959832</v>
      </c>
      <c r="Y85" s="319">
        <v>75.0</v>
      </c>
      <c r="Z85" s="320">
        <v>4.860215053763441</v>
      </c>
      <c r="AA85" s="20">
        <v>10.772858799528137</v>
      </c>
      <c r="AB85" s="20">
        <f t="shared" si="187"/>
        <v>2.377029897</v>
      </c>
      <c r="AC85" s="321">
        <f t="shared" si="188"/>
        <v>0.7959472103</v>
      </c>
      <c r="AD85" s="320">
        <v>16.688172043010752</v>
      </c>
      <c r="AE85" s="20">
        <v>9.218974999260887</v>
      </c>
      <c r="AF85" s="20">
        <f t="shared" si="189"/>
        <v>2.22126386</v>
      </c>
      <c r="AG85" s="321">
        <f t="shared" si="190"/>
        <v>-0.5934363476</v>
      </c>
      <c r="AH85" s="320">
        <v>32.817204301075265</v>
      </c>
      <c r="AI85" s="20">
        <v>7.046960748799184</v>
      </c>
      <c r="AJ85" s="20">
        <f t="shared" si="191"/>
        <v>1.952596424</v>
      </c>
      <c r="AK85" s="321">
        <f t="shared" si="192"/>
        <v>-1.538356475</v>
      </c>
      <c r="AW85" s="319">
        <v>75.0</v>
      </c>
      <c r="AX85" s="320">
        <v>2.5304659498207887</v>
      </c>
      <c r="AY85" s="20">
        <v>11.019271082905224</v>
      </c>
      <c r="AZ85" s="20">
        <f t="shared" si="193"/>
        <v>2.399645657</v>
      </c>
      <c r="BA85" s="321">
        <f t="shared" si="194"/>
        <v>1.471242201</v>
      </c>
      <c r="BB85" s="320">
        <v>21.34767025089606</v>
      </c>
      <c r="BC85" s="20">
        <v>8.482348979232412</v>
      </c>
      <c r="BD85" s="20">
        <f t="shared" si="195"/>
        <v>2.137987414</v>
      </c>
      <c r="BE85" s="321">
        <f t="shared" si="196"/>
        <v>-0.9229551983</v>
      </c>
      <c r="BF85" s="320">
        <v>9.519713261648743</v>
      </c>
      <c r="BG85" s="20">
        <v>11.249502421847936</v>
      </c>
      <c r="BH85" s="20">
        <f t="shared" si="197"/>
        <v>2.420323899</v>
      </c>
      <c r="BI85" s="321">
        <f t="shared" si="198"/>
        <v>0.1669591697</v>
      </c>
    </row>
    <row r="86" ht="15.75" hidden="1" customHeight="1">
      <c r="A86" s="319">
        <v>100.0</v>
      </c>
      <c r="B86" s="320">
        <v>6.831541218637992</v>
      </c>
      <c r="C86" s="20">
        <v>14.567819227317436</v>
      </c>
      <c r="D86" s="20">
        <f t="shared" si="181"/>
        <v>2.678814933</v>
      </c>
      <c r="E86" s="321">
        <f t="shared" si="182"/>
        <v>0.7572646311</v>
      </c>
      <c r="F86" s="320">
        <v>65.0</v>
      </c>
      <c r="G86" s="20">
        <v>7.0</v>
      </c>
      <c r="H86" s="20">
        <f t="shared" si="183"/>
        <v>1.945910149</v>
      </c>
      <c r="I86" s="321">
        <f t="shared" si="184"/>
        <v>-2.228477121</v>
      </c>
      <c r="J86" s="320">
        <v>38.19354838709677</v>
      </c>
      <c r="K86" s="20">
        <v>10.49759050607947</v>
      </c>
      <c r="L86" s="20">
        <f t="shared" si="185"/>
        <v>2.351145755</v>
      </c>
      <c r="M86" s="321">
        <f t="shared" si="186"/>
        <v>-1.291520856</v>
      </c>
      <c r="Y86" s="319">
        <v>100.0</v>
      </c>
      <c r="Z86" s="320">
        <v>5.935483870967742</v>
      </c>
      <c r="AA86" s="20">
        <v>13.901898408523735</v>
      </c>
      <c r="AB86" s="20">
        <f t="shared" si="187"/>
        <v>2.632025407</v>
      </c>
      <c r="AC86" s="321">
        <f t="shared" si="188"/>
        <v>0.8510768538</v>
      </c>
      <c r="AD86" s="320">
        <v>26.00716845878136</v>
      </c>
      <c r="AE86" s="20">
        <v>11.206051440959174</v>
      </c>
      <c r="AF86" s="20">
        <f t="shared" si="189"/>
        <v>2.41645394</v>
      </c>
      <c r="AG86" s="321">
        <f t="shared" si="190"/>
        <v>-0.8419182704</v>
      </c>
      <c r="AH86" s="320">
        <v>52.35125448028673</v>
      </c>
      <c r="AI86" s="20">
        <v>7.793846654304835</v>
      </c>
      <c r="AJ86" s="20">
        <f t="shared" si="191"/>
        <v>2.053334532</v>
      </c>
      <c r="AK86" s="321">
        <f t="shared" si="192"/>
        <v>-1.904641368</v>
      </c>
      <c r="AW86" s="319">
        <v>100.0</v>
      </c>
      <c r="AX86" s="320">
        <v>2.8888888888888884</v>
      </c>
      <c r="AY86" s="20">
        <v>14.143820326926342</v>
      </c>
      <c r="AZ86" s="20">
        <f t="shared" si="193"/>
        <v>2.649277803</v>
      </c>
      <c r="BA86" s="321">
        <f t="shared" si="194"/>
        <v>1.588405842</v>
      </c>
      <c r="BB86" s="320">
        <v>31.025089605734763</v>
      </c>
      <c r="BC86" s="20">
        <v>10.459936833883226</v>
      </c>
      <c r="BD86" s="20">
        <f t="shared" si="195"/>
        <v>2.34755242</v>
      </c>
      <c r="BE86" s="321">
        <f t="shared" si="196"/>
        <v>-1.087243799</v>
      </c>
      <c r="BF86" s="320">
        <v>15.97132616487455</v>
      </c>
      <c r="BG86" s="20">
        <v>12.43190091644241</v>
      </c>
      <c r="BH86" s="20">
        <f t="shared" si="197"/>
        <v>2.520265824</v>
      </c>
      <c r="BI86" s="321">
        <f t="shared" si="198"/>
        <v>-0.2505291762</v>
      </c>
    </row>
    <row r="87" ht="15.75" hidden="1" customHeight="1">
      <c r="A87" s="319">
        <v>150.0</v>
      </c>
      <c r="B87" s="320">
        <v>12.387096774193548</v>
      </c>
      <c r="C87" s="20">
        <v>19.079139057562784</v>
      </c>
      <c r="D87" s="20">
        <f t="shared" si="181"/>
        <v>2.948595542</v>
      </c>
      <c r="E87" s="321">
        <f t="shared" si="182"/>
        <v>0.4319401941</v>
      </c>
      <c r="F87" s="320">
        <v>100.55913978494621</v>
      </c>
      <c r="G87" s="20">
        <v>7.168784841064191</v>
      </c>
      <c r="H87" s="20">
        <f t="shared" si="183"/>
        <v>1.969736162</v>
      </c>
      <c r="I87" s="321">
        <f t="shared" si="184"/>
        <v>-2.641009848</v>
      </c>
      <c r="J87" s="320">
        <v>73.49820788530465</v>
      </c>
      <c r="K87" s="20">
        <v>10.738208905573646</v>
      </c>
      <c r="L87" s="20">
        <f t="shared" si="185"/>
        <v>2.373808307</v>
      </c>
      <c r="M87" s="321">
        <f t="shared" si="186"/>
        <v>-1.923452717</v>
      </c>
      <c r="Y87" s="319">
        <v>150.0</v>
      </c>
      <c r="Z87" s="320">
        <v>5.577060931899641</v>
      </c>
      <c r="AA87" s="20">
        <v>18.301508975302504</v>
      </c>
      <c r="AB87" s="20">
        <f t="shared" si="187"/>
        <v>2.906983514</v>
      </c>
      <c r="AC87" s="321">
        <f t="shared" si="188"/>
        <v>1.188321591</v>
      </c>
      <c r="AD87" s="320">
        <v>48.76702508960573</v>
      </c>
      <c r="AE87" s="20">
        <v>12.400822397213869</v>
      </c>
      <c r="AF87" s="20">
        <f t="shared" si="189"/>
        <v>2.517762793</v>
      </c>
      <c r="AG87" s="321">
        <f t="shared" si="190"/>
        <v>-1.369291576</v>
      </c>
      <c r="AH87" s="320">
        <v>76.00716845878135</v>
      </c>
      <c r="AI87" s="20">
        <v>8.901544665920543</v>
      </c>
      <c r="AJ87" s="20">
        <f t="shared" si="191"/>
        <v>2.18622482</v>
      </c>
      <c r="AK87" s="321">
        <f t="shared" si="192"/>
        <v>-2.144602838</v>
      </c>
      <c r="AW87" s="319">
        <v>150.0</v>
      </c>
      <c r="AX87" s="320">
        <v>7.189964157706092</v>
      </c>
      <c r="AY87" s="20">
        <v>19.50992466132772</v>
      </c>
      <c r="AZ87" s="20">
        <f t="shared" si="193"/>
        <v>2.970923293</v>
      </c>
      <c r="BA87" s="321">
        <f t="shared" si="194"/>
        <v>0.9982371064</v>
      </c>
      <c r="BB87" s="320">
        <v>71.8853046594982</v>
      </c>
      <c r="BC87" s="20">
        <v>10.991758928743177</v>
      </c>
      <c r="BD87" s="20">
        <f t="shared" si="195"/>
        <v>2.397145804</v>
      </c>
      <c r="BE87" s="321">
        <f t="shared" si="196"/>
        <v>-1.877926054</v>
      </c>
      <c r="BF87" s="320">
        <v>53.24731182795699</v>
      </c>
      <c r="BG87" s="20">
        <v>13.516967690823842</v>
      </c>
      <c r="BH87" s="20">
        <f t="shared" si="197"/>
        <v>2.603945762</v>
      </c>
      <c r="BI87" s="321">
        <f t="shared" si="198"/>
        <v>-1.371001559</v>
      </c>
    </row>
    <row r="88" ht="15.75" hidden="1" customHeight="1">
      <c r="A88" s="319">
        <v>250.0</v>
      </c>
      <c r="B88" s="322">
        <v>48.767025089605724</v>
      </c>
      <c r="C88" s="323">
        <v>19.867549668874176</v>
      </c>
      <c r="D88" s="323">
        <f t="shared" si="181"/>
        <v>2.989087731</v>
      </c>
      <c r="E88" s="324">
        <f t="shared" si="182"/>
        <v>-0.8979666382</v>
      </c>
      <c r="F88" s="322">
        <v>138.55197132616485</v>
      </c>
      <c r="G88" s="323">
        <v>7.8591861771302955</v>
      </c>
      <c r="H88" s="323">
        <f t="shared" si="183"/>
        <v>2.061683061</v>
      </c>
      <c r="I88" s="324">
        <f t="shared" si="184"/>
        <v>-2.869562438</v>
      </c>
      <c r="J88" s="322">
        <v>121.16845878136199</v>
      </c>
      <c r="K88" s="323">
        <v>10.124392993091213</v>
      </c>
      <c r="L88" s="323">
        <f t="shared" si="185"/>
        <v>2.31494766</v>
      </c>
      <c r="M88" s="324">
        <f t="shared" si="186"/>
        <v>-2.482234139</v>
      </c>
      <c r="Y88" s="319">
        <v>250.0</v>
      </c>
      <c r="Z88" s="322">
        <v>25.111111111111114</v>
      </c>
      <c r="AA88" s="323">
        <v>24.516421256319177</v>
      </c>
      <c r="AB88" s="323">
        <f t="shared" si="187"/>
        <v>3.199343148</v>
      </c>
      <c r="AC88" s="324">
        <f t="shared" si="188"/>
        <v>-0.02396727355</v>
      </c>
      <c r="AD88" s="322">
        <v>103.06810035842292</v>
      </c>
      <c r="AE88" s="323">
        <v>14.34657601273193</v>
      </c>
      <c r="AF88" s="323">
        <f t="shared" si="189"/>
        <v>2.663511308</v>
      </c>
      <c r="AG88" s="324">
        <f t="shared" si="190"/>
        <v>-1.97187863</v>
      </c>
      <c r="AH88" s="322">
        <v>134.43010752688173</v>
      </c>
      <c r="AI88" s="323">
        <v>10.193206958112519</v>
      </c>
      <c r="AJ88" s="323">
        <f t="shared" si="191"/>
        <v>2.321721514</v>
      </c>
      <c r="AK88" s="324">
        <f t="shared" si="192"/>
        <v>-2.579322903</v>
      </c>
      <c r="AW88" s="319">
        <v>250.0</v>
      </c>
      <c r="AX88" s="322">
        <v>86.93906810035841</v>
      </c>
      <c r="AY88" s="323">
        <v>26.893177852477017</v>
      </c>
      <c r="AZ88" s="323">
        <f t="shared" si="193"/>
        <v>3.291872643</v>
      </c>
      <c r="BA88" s="324">
        <f t="shared" si="194"/>
        <v>-1.173334864</v>
      </c>
      <c r="BB88" s="322">
        <v>217.40501792114696</v>
      </c>
      <c r="BC88" s="323">
        <v>9.507213684410061</v>
      </c>
      <c r="BD88" s="323">
        <f t="shared" si="195"/>
        <v>2.252050846</v>
      </c>
      <c r="BE88" s="324">
        <f t="shared" si="196"/>
        <v>-3.12971121</v>
      </c>
      <c r="BF88" s="322">
        <v>167.2258064516129</v>
      </c>
      <c r="BG88" s="323">
        <v>16.2467013926002</v>
      </c>
      <c r="BH88" s="323">
        <f t="shared" si="197"/>
        <v>2.787889897</v>
      </c>
      <c r="BI88" s="324">
        <f t="shared" si="198"/>
        <v>-2.331455137</v>
      </c>
    </row>
    <row r="89" ht="15.75" hidden="1" customHeight="1">
      <c r="A89" s="319">
        <v>350.0</v>
      </c>
      <c r="Y89" s="319">
        <v>350.0</v>
      </c>
      <c r="AW89" s="319">
        <v>350.0</v>
      </c>
    </row>
    <row r="90" ht="15.75" hidden="1" customHeight="1"/>
    <row r="91" ht="15.75" hidden="1" customHeight="1"/>
    <row r="92" ht="15.75" hidden="1" customHeight="1">
      <c r="B92" s="166" t="s">
        <v>413</v>
      </c>
      <c r="C92" s="167" t="s">
        <v>414</v>
      </c>
      <c r="D92" s="168" t="s">
        <v>415</v>
      </c>
      <c r="F92" s="166" t="s">
        <v>416</v>
      </c>
      <c r="G92" s="167" t="s">
        <v>417</v>
      </c>
      <c r="H92" s="168" t="s">
        <v>418</v>
      </c>
      <c r="J92" s="166" t="s">
        <v>419</v>
      </c>
      <c r="K92" s="167" t="s">
        <v>420</v>
      </c>
      <c r="L92" s="168" t="s">
        <v>421</v>
      </c>
      <c r="Z92" s="166" t="s">
        <v>422</v>
      </c>
      <c r="AA92" s="167" t="s">
        <v>423</v>
      </c>
      <c r="AB92" s="168" t="s">
        <v>424</v>
      </c>
      <c r="AD92" s="166" t="s">
        <v>425</v>
      </c>
      <c r="AE92" s="167" t="s">
        <v>426</v>
      </c>
      <c r="AF92" s="168" t="s">
        <v>427</v>
      </c>
      <c r="AH92" s="166" t="s">
        <v>428</v>
      </c>
      <c r="AI92" s="167" t="s">
        <v>429</v>
      </c>
      <c r="AJ92" s="168" t="s">
        <v>430</v>
      </c>
      <c r="AX92" s="166" t="s">
        <v>431</v>
      </c>
      <c r="AY92" s="167" t="s">
        <v>432</v>
      </c>
      <c r="AZ92" s="168" t="s">
        <v>433</v>
      </c>
      <c r="BB92" s="166" t="s">
        <v>434</v>
      </c>
      <c r="BC92" s="167" t="s">
        <v>435</v>
      </c>
      <c r="BD92" s="168" t="s">
        <v>436</v>
      </c>
      <c r="BF92" s="166" t="s">
        <v>437</v>
      </c>
      <c r="BG92" s="167" t="s">
        <v>438</v>
      </c>
      <c r="BH92" s="168" t="s">
        <v>439</v>
      </c>
    </row>
    <row r="93" ht="15.75" hidden="1" customHeight="1">
      <c r="B93" s="354">
        <v>0.0821</v>
      </c>
      <c r="C93" s="303">
        <f>EXP(-2.1839)</f>
        <v>0.1126015272</v>
      </c>
      <c r="D93" s="348">
        <v>0.6703</v>
      </c>
      <c r="F93" s="354">
        <v>0.4982</v>
      </c>
      <c r="G93" s="303">
        <f>EXP(-1.9562)</f>
        <v>0.1413947012</v>
      </c>
      <c r="H93" s="348">
        <v>0.7752</v>
      </c>
      <c r="J93" s="354">
        <v>0.1098</v>
      </c>
      <c r="K93" s="303">
        <f>EXP(-2.0123)</f>
        <v>0.1336808548</v>
      </c>
      <c r="L93" s="348">
        <v>0.1837</v>
      </c>
      <c r="Z93" s="354">
        <v>0.0559</v>
      </c>
      <c r="AA93" s="303">
        <f>EXP(-2.4656)</f>
        <v>0.08495785236</v>
      </c>
      <c r="AB93" s="348">
        <v>0.2809</v>
      </c>
      <c r="AD93" s="354">
        <v>-0.0476</v>
      </c>
      <c r="AE93" s="303">
        <f>EXP(-2.0213)</f>
        <v>0.132483125</v>
      </c>
      <c r="AF93" s="348">
        <v>0.2418</v>
      </c>
      <c r="AH93" s="354">
        <v>0.2766</v>
      </c>
      <c r="AI93" s="303">
        <f>EXP(-2.0031)</f>
        <v>0.1349163935</v>
      </c>
      <c r="AJ93" s="348">
        <v>0.9584</v>
      </c>
      <c r="AX93" s="354">
        <v>0.1219</v>
      </c>
      <c r="AY93" s="303">
        <f>EXP(-2.3132)</f>
        <v>0.09894412323</v>
      </c>
      <c r="AZ93" s="348">
        <v>0.9209</v>
      </c>
      <c r="BB93" s="354">
        <v>0.1949</v>
      </c>
      <c r="BC93" s="303">
        <f>EXP(-1.9759)</f>
        <v>0.1386364832</v>
      </c>
      <c r="BD93" s="348">
        <v>0.5501</v>
      </c>
      <c r="BF93" s="354">
        <v>0.302</v>
      </c>
      <c r="BG93" s="303">
        <f>EXP(-2.0303)</f>
        <v>0.1312961264</v>
      </c>
      <c r="BH93" s="348">
        <v>0.89</v>
      </c>
    </row>
    <row r="94" ht="15.75" hidden="1" customHeight="1">
      <c r="A94" s="147"/>
      <c r="B94" s="355" t="s">
        <v>440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56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87" t="s">
        <v>441</v>
      </c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9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87" t="s">
        <v>442</v>
      </c>
      <c r="AY94" s="188"/>
      <c r="AZ94" s="188"/>
      <c r="BA94" s="188"/>
      <c r="BB94" s="188"/>
      <c r="BC94" s="188"/>
      <c r="BD94" s="188"/>
      <c r="BE94" s="188"/>
      <c r="BF94" s="188"/>
      <c r="BG94" s="188"/>
      <c r="BH94" s="188"/>
      <c r="BI94" s="189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</row>
    <row r="95" ht="15.75" hidden="1" customHeight="1">
      <c r="A95" s="147"/>
      <c r="B95" s="316" t="s">
        <v>229</v>
      </c>
      <c r="C95" s="314"/>
      <c r="D95" s="314"/>
      <c r="E95" s="234"/>
      <c r="F95" s="316" t="s">
        <v>230</v>
      </c>
      <c r="G95" s="314"/>
      <c r="H95" s="314"/>
      <c r="I95" s="234"/>
      <c r="J95" s="316" t="s">
        <v>231</v>
      </c>
      <c r="K95" s="314"/>
      <c r="L95" s="314"/>
      <c r="M95" s="234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315" t="s">
        <v>229</v>
      </c>
      <c r="AA95" s="314"/>
      <c r="AB95" s="314"/>
      <c r="AC95" s="234"/>
      <c r="AD95" s="357" t="s">
        <v>230</v>
      </c>
      <c r="AE95" s="314"/>
      <c r="AF95" s="314"/>
      <c r="AG95" s="234"/>
      <c r="AH95" s="315" t="s">
        <v>231</v>
      </c>
      <c r="AI95" s="314"/>
      <c r="AJ95" s="314"/>
      <c r="AK95" s="234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315" t="s">
        <v>229</v>
      </c>
      <c r="AY95" s="314"/>
      <c r="AZ95" s="314"/>
      <c r="BA95" s="234"/>
      <c r="BB95" s="315" t="s">
        <v>230</v>
      </c>
      <c r="BC95" s="314"/>
      <c r="BD95" s="314"/>
      <c r="BE95" s="234"/>
      <c r="BF95" s="315" t="s">
        <v>231</v>
      </c>
      <c r="BG95" s="314"/>
      <c r="BH95" s="314"/>
      <c r="BI95" s="234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</row>
    <row r="96" ht="15.75" hidden="1" customHeight="1">
      <c r="A96" s="258" t="s">
        <v>168</v>
      </c>
      <c r="B96" s="317" t="s">
        <v>378</v>
      </c>
      <c r="C96" s="50" t="s">
        <v>168</v>
      </c>
      <c r="D96" s="50" t="s">
        <v>443</v>
      </c>
      <c r="E96" s="318" t="s">
        <v>444</v>
      </c>
      <c r="F96" s="317" t="s">
        <v>378</v>
      </c>
      <c r="G96" s="50" t="s">
        <v>168</v>
      </c>
      <c r="H96" s="50" t="s">
        <v>443</v>
      </c>
      <c r="I96" s="318" t="s">
        <v>444</v>
      </c>
      <c r="J96" s="317" t="s">
        <v>378</v>
      </c>
      <c r="K96" s="50" t="s">
        <v>168</v>
      </c>
      <c r="L96" s="50" t="s">
        <v>443</v>
      </c>
      <c r="M96" s="318" t="s">
        <v>444</v>
      </c>
      <c r="Y96" s="258" t="s">
        <v>168</v>
      </c>
      <c r="Z96" s="317" t="s">
        <v>378</v>
      </c>
      <c r="AA96" s="50" t="s">
        <v>168</v>
      </c>
      <c r="AB96" s="50" t="s">
        <v>443</v>
      </c>
      <c r="AC96" s="318" t="s">
        <v>444</v>
      </c>
      <c r="AD96" s="358" t="s">
        <v>378</v>
      </c>
      <c r="AE96" s="50" t="s">
        <v>168</v>
      </c>
      <c r="AF96" s="50" t="s">
        <v>443</v>
      </c>
      <c r="AG96" s="318" t="s">
        <v>444</v>
      </c>
      <c r="AH96" s="317" t="s">
        <v>378</v>
      </c>
      <c r="AI96" s="50" t="s">
        <v>168</v>
      </c>
      <c r="AJ96" s="50" t="s">
        <v>443</v>
      </c>
      <c r="AK96" s="318" t="s">
        <v>444</v>
      </c>
      <c r="AW96" s="258" t="s">
        <v>168</v>
      </c>
      <c r="AX96" s="317" t="s">
        <v>378</v>
      </c>
      <c r="AY96" s="50" t="s">
        <v>168</v>
      </c>
      <c r="AZ96" s="50" t="s">
        <v>443</v>
      </c>
      <c r="BA96" s="318" t="s">
        <v>444</v>
      </c>
      <c r="BB96" s="317" t="s">
        <v>378</v>
      </c>
      <c r="BC96" s="50" t="s">
        <v>168</v>
      </c>
      <c r="BD96" s="50" t="s">
        <v>443</v>
      </c>
      <c r="BE96" s="318" t="s">
        <v>444</v>
      </c>
      <c r="BF96" s="317" t="s">
        <v>378</v>
      </c>
      <c r="BG96" s="50" t="s">
        <v>168</v>
      </c>
      <c r="BH96" s="50" t="s">
        <v>443</v>
      </c>
      <c r="BI96" s="318" t="s">
        <v>444</v>
      </c>
    </row>
    <row r="97" ht="15.75" hidden="1" customHeight="1">
      <c r="A97" s="319">
        <v>50.0</v>
      </c>
      <c r="B97" s="320">
        <v>0.40382065809977274</v>
      </c>
      <c r="C97" s="20">
        <v>66.5089605734767</v>
      </c>
      <c r="D97" s="20">
        <f t="shared" ref="D97:D101" si="199">LOG(1-B97)</f>
        <v>-0.2246230767</v>
      </c>
      <c r="E97" s="321">
        <f t="shared" ref="E97:E101" si="200">LOG(B97/C97)</f>
        <v>-2.216691628</v>
      </c>
      <c r="F97" s="320">
        <v>0.5439808538632549</v>
      </c>
      <c r="G97" s="20">
        <v>66.5089605734767</v>
      </c>
      <c r="H97" s="20">
        <f t="shared" ref="H97:H101" si="201">LOG(1-F97)</f>
        <v>-0.3410169229</v>
      </c>
      <c r="I97" s="321">
        <f t="shared" ref="I97:I101" si="202">LOG(F97/G97)</f>
        <v>-2.087296546</v>
      </c>
      <c r="J97" s="320">
        <v>0.6519245932661734</v>
      </c>
      <c r="K97" s="20">
        <v>66.5089605734767</v>
      </c>
      <c r="L97" s="20">
        <f t="shared" ref="L97:L99" si="203">LOG(1-J97)</f>
        <v>-0.4583266607</v>
      </c>
      <c r="M97" s="321">
        <f t="shared" ref="M97:M101" si="204">LOG(J97/K97)</f>
        <v>-2.008682796</v>
      </c>
      <c r="Y97" s="319">
        <v>50.0</v>
      </c>
      <c r="Z97" s="320">
        <v>0.17823438572409053</v>
      </c>
      <c r="AA97" s="11">
        <v>54.32258064516128</v>
      </c>
      <c r="AB97" s="20">
        <f t="shared" ref="AB97:AB101" si="205">LOG(1-Z97)</f>
        <v>-0.08525203519</v>
      </c>
      <c r="AC97" s="321">
        <f t="shared" ref="AC97:AC101" si="206">LOG(Z97/AA97)</f>
        <v>-2.4839889</v>
      </c>
      <c r="AD97" s="320">
        <f t="shared" ref="AD97:AD101" si="207">AE84/$AD$67</f>
        <v>0.6674511548</v>
      </c>
      <c r="AE97" s="11">
        <v>54.32258064516128</v>
      </c>
      <c r="AF97" s="20">
        <f t="shared" ref="AF97:AF101" si="208">LOG(1-AD97)</f>
        <v>-0.478144556</v>
      </c>
      <c r="AG97" s="321">
        <f t="shared" ref="AG97:AG101" si="209">LOG(AD97/AE97)</f>
        <v>-1.910560905</v>
      </c>
      <c r="AH97" s="320">
        <f t="shared" ref="AH97:AH101" si="210">AI84/$AH$67</f>
        <v>0.4730700774</v>
      </c>
      <c r="AI97" s="11">
        <v>54.32258064516128</v>
      </c>
      <c r="AJ97" s="20">
        <f t="shared" ref="AJ97:AJ101" si="211">LOG(1-AH97)</f>
        <v>-0.2782471386</v>
      </c>
      <c r="AK97" s="321">
        <f t="shared" ref="AK97:AK101" si="212">LOG(AH97/AI97)</f>
        <v>-2.060054914</v>
      </c>
      <c r="AW97" s="319">
        <v>50.0</v>
      </c>
      <c r="AX97" s="320">
        <v>0.2559463720994248</v>
      </c>
      <c r="AY97" s="11">
        <v>57.189964157706086</v>
      </c>
      <c r="AZ97" s="20">
        <f t="shared" ref="AZ97:AZ101" si="213">LOG(1-AX97)</f>
        <v>-0.1283957614</v>
      </c>
      <c r="BA97" s="321">
        <f t="shared" ref="BA97:BA101" si="214">LOG(AX97/AY97)</f>
        <v>-2.349170846</v>
      </c>
      <c r="BB97" s="320">
        <v>0.6579570130311829</v>
      </c>
      <c r="BC97" s="11">
        <v>57.189964157706086</v>
      </c>
      <c r="BD97" s="20">
        <f t="shared" ref="BD97:BD101" si="215">LOG(1-BB97)</f>
        <v>-0.4659193096</v>
      </c>
      <c r="BE97" s="321">
        <f t="shared" ref="BE97:BE101" si="216">LOG(BB97/BC97)</f>
        <v>-1.939122304</v>
      </c>
      <c r="BF97" s="320">
        <v>0.40606725777569164</v>
      </c>
      <c r="BG97" s="11">
        <v>57.189964157706086</v>
      </c>
      <c r="BH97" s="20">
        <f t="shared" ref="BH97:BH101" si="217">LOG(1-BF97)</f>
        <v>-0.2262627323</v>
      </c>
      <c r="BI97" s="321">
        <f t="shared" ref="BI97:BI101" si="218">LOG(BF97/BG97)</f>
        <v>-2.148721852</v>
      </c>
    </row>
    <row r="98" ht="15.75" hidden="1" customHeight="1">
      <c r="A98" s="319">
        <v>75.0</v>
      </c>
      <c r="B98" s="320">
        <v>0.6234223153102233</v>
      </c>
      <c r="C98" s="20">
        <v>100.55913978494623</v>
      </c>
      <c r="D98" s="20">
        <f t="shared" si="199"/>
        <v>-0.4241454191</v>
      </c>
      <c r="E98" s="321">
        <f t="shared" si="200"/>
        <v>-2.207639206</v>
      </c>
      <c r="F98" s="320">
        <v>0.6044712964834681</v>
      </c>
      <c r="G98" s="20">
        <v>100.55913978494623</v>
      </c>
      <c r="H98" s="20">
        <f t="shared" si="201"/>
        <v>-0.4028219943</v>
      </c>
      <c r="I98" s="321">
        <f t="shared" si="202"/>
        <v>-2.221045867</v>
      </c>
      <c r="J98" s="320">
        <v>0.8232541181056366</v>
      </c>
      <c r="K98" s="20">
        <v>100.55913978494623</v>
      </c>
      <c r="L98" s="20">
        <f t="shared" si="203"/>
        <v>-0.7526506963</v>
      </c>
      <c r="M98" s="321">
        <f t="shared" si="204"/>
        <v>-2.086887638</v>
      </c>
      <c r="Y98" s="319">
        <v>75.0</v>
      </c>
      <c r="Z98" s="320">
        <v>0.2908671875872597</v>
      </c>
      <c r="AA98" s="11">
        <v>86.2222222222222</v>
      </c>
      <c r="AB98" s="20">
        <f t="shared" si="205"/>
        <v>-0.1492724188</v>
      </c>
      <c r="AC98" s="321">
        <f t="shared" si="206"/>
        <v>-2.47192448</v>
      </c>
      <c r="AD98" s="320">
        <f t="shared" si="207"/>
        <v>0.9928836074</v>
      </c>
      <c r="AE98" s="11">
        <v>86.2222222222222</v>
      </c>
      <c r="AF98" s="20">
        <f t="shared" si="208"/>
        <v>-2.147740102</v>
      </c>
      <c r="AG98" s="321">
        <f t="shared" si="209"/>
        <v>-1.938720871</v>
      </c>
      <c r="AH98" s="320">
        <f t="shared" si="210"/>
        <v>0.6567767418</v>
      </c>
      <c r="AI98" s="11">
        <v>86.2222222222222</v>
      </c>
      <c r="AJ98" s="20">
        <f t="shared" si="211"/>
        <v>-0.4644232903</v>
      </c>
      <c r="AK98" s="321">
        <f t="shared" si="212"/>
        <v>-2.118201447</v>
      </c>
      <c r="AW98" s="319">
        <v>75.0</v>
      </c>
      <c r="AX98" s="320">
        <v>0.3900821963348449</v>
      </c>
      <c r="AY98" s="11">
        <v>85.86379928315411</v>
      </c>
      <c r="AZ98" s="20">
        <f t="shared" si="213"/>
        <v>-0.2147286893</v>
      </c>
      <c r="BA98" s="321">
        <f t="shared" si="214"/>
        <v>-2.342653972</v>
      </c>
      <c r="BB98" s="320">
        <v>0.8821642938401709</v>
      </c>
      <c r="BC98" s="11">
        <v>85.86379928315411</v>
      </c>
      <c r="BD98" s="20">
        <f t="shared" si="215"/>
        <v>-0.9287230912</v>
      </c>
      <c r="BE98" s="321">
        <f t="shared" si="216"/>
        <v>-1.988260626</v>
      </c>
      <c r="BF98" s="320">
        <v>0.6682204438577675</v>
      </c>
      <c r="BG98" s="11">
        <v>85.86379928315411</v>
      </c>
      <c r="BH98" s="20">
        <f t="shared" si="217"/>
        <v>-0.4791503782</v>
      </c>
      <c r="BI98" s="321">
        <f t="shared" si="218"/>
        <v>-2.108890343</v>
      </c>
    </row>
    <row r="99" ht="15.75" hidden="1" customHeight="1">
      <c r="A99" s="319">
        <v>100.0</v>
      </c>
      <c r="B99" s="320">
        <v>0.6963417590657736</v>
      </c>
      <c r="C99" s="20">
        <v>118.48028673835125</v>
      </c>
      <c r="D99" s="20">
        <f t="shared" si="199"/>
        <v>-0.5176149281</v>
      </c>
      <c r="E99" s="321">
        <f t="shared" si="200"/>
        <v>-2.230823656</v>
      </c>
      <c r="F99" s="320">
        <v>0.7539000000000001</v>
      </c>
      <c r="G99" s="20">
        <v>118.48028673835125</v>
      </c>
      <c r="H99" s="20">
        <f t="shared" si="201"/>
        <v>-0.6088883863</v>
      </c>
      <c r="I99" s="321">
        <f t="shared" si="202"/>
        <v>-2.196332353</v>
      </c>
      <c r="J99" s="320">
        <v>0.9783754351666067</v>
      </c>
      <c r="K99" s="20">
        <v>118.48028673835125</v>
      </c>
      <c r="L99" s="20">
        <f t="shared" si="203"/>
        <v>-1.665052623</v>
      </c>
      <c r="M99" s="321">
        <f t="shared" si="204"/>
        <v>-2.083140557</v>
      </c>
      <c r="Y99" s="319">
        <v>100.0</v>
      </c>
      <c r="Z99" s="320">
        <v>0.37535125703014083</v>
      </c>
      <c r="AA99" s="11">
        <v>111.31182795698923</v>
      </c>
      <c r="AB99" s="20">
        <f t="shared" si="205"/>
        <v>-0.2043641297</v>
      </c>
      <c r="AC99" s="321">
        <f t="shared" si="206"/>
        <v>-2.47210344</v>
      </c>
      <c r="AD99" s="320">
        <f t="shared" si="207"/>
        <v>1.20689174</v>
      </c>
      <c r="AE99" s="11">
        <v>111.31182795698923</v>
      </c>
      <c r="AF99" s="20" t="str">
        <f t="shared" si="208"/>
        <v>#NUM!</v>
      </c>
      <c r="AG99" s="321">
        <f t="shared" si="209"/>
        <v>-1.964873</v>
      </c>
      <c r="AH99" s="320">
        <f t="shared" si="210"/>
        <v>0.7263865082</v>
      </c>
      <c r="AI99" s="11">
        <v>111.31182795698923</v>
      </c>
      <c r="AJ99" s="20">
        <f t="shared" si="211"/>
        <v>-0.5628624915</v>
      </c>
      <c r="AK99" s="321">
        <f t="shared" si="212"/>
        <v>-2.185373546</v>
      </c>
      <c r="AW99" s="319">
        <v>100.0</v>
      </c>
      <c r="AX99" s="320">
        <v>0.5006912395731925</v>
      </c>
      <c r="AY99" s="11">
        <v>110.23655913978493</v>
      </c>
      <c r="AZ99" s="20">
        <f t="shared" si="213"/>
        <v>-0.3016308141</v>
      </c>
      <c r="BA99" s="321">
        <f t="shared" si="214"/>
        <v>-2.342755656</v>
      </c>
      <c r="BB99" s="320">
        <v>1.0878334307238555</v>
      </c>
      <c r="BC99" s="11">
        <v>110.23655913978493</v>
      </c>
      <c r="BD99" s="20" t="str">
        <f t="shared" si="215"/>
        <v>#NUM!</v>
      </c>
      <c r="BE99" s="321">
        <f t="shared" si="216"/>
        <v>-2.005763248</v>
      </c>
      <c r="BF99" s="320">
        <v>0.7384549144366792</v>
      </c>
      <c r="BG99" s="11">
        <v>110.23655913978493</v>
      </c>
      <c r="BH99" s="20">
        <f t="shared" si="217"/>
        <v>-0.582453436</v>
      </c>
      <c r="BI99" s="321">
        <f t="shared" si="218"/>
        <v>-2.174001664</v>
      </c>
    </row>
    <row r="100" ht="15.75" hidden="1" customHeight="1">
      <c r="A100" s="319">
        <v>150.0</v>
      </c>
      <c r="B100" s="320">
        <v>0.9119828469515012</v>
      </c>
      <c r="C100" s="20">
        <v>155.75627240143368</v>
      </c>
      <c r="D100" s="20">
        <f t="shared" si="199"/>
        <v>-1.055432683</v>
      </c>
      <c r="E100" s="321">
        <f t="shared" si="200"/>
        <v>-2.232458875</v>
      </c>
      <c r="F100" s="320">
        <v>0.7720781273826135</v>
      </c>
      <c r="G100" s="20">
        <v>155.75627240143368</v>
      </c>
      <c r="H100" s="20">
        <f t="shared" si="201"/>
        <v>-0.6422139956</v>
      </c>
      <c r="I100" s="321">
        <f t="shared" si="202"/>
        <v>-2.304784296</v>
      </c>
      <c r="J100" s="320">
        <v>1.0008010699994638</v>
      </c>
      <c r="K100" s="20">
        <v>155.75627240143368</v>
      </c>
      <c r="L100" s="20"/>
      <c r="M100" s="321">
        <f t="shared" si="204"/>
        <v>-2.192097784</v>
      </c>
      <c r="Y100" s="319">
        <v>150.0</v>
      </c>
      <c r="Z100" s="320">
        <v>0.49414074233316757</v>
      </c>
      <c r="AA100" s="11">
        <v>143.56989247311827</v>
      </c>
      <c r="AB100" s="20">
        <f t="shared" si="205"/>
        <v>-0.2959702976</v>
      </c>
      <c r="AC100" s="321">
        <f t="shared" si="206"/>
        <v>-2.463212712</v>
      </c>
      <c r="AD100" s="320">
        <f t="shared" si="207"/>
        <v>1.335568572</v>
      </c>
      <c r="AE100" s="11">
        <v>143.56989247311827</v>
      </c>
      <c r="AF100" s="20" t="str">
        <f t="shared" si="208"/>
        <v>#NUM!</v>
      </c>
      <c r="AG100" s="321">
        <f t="shared" si="209"/>
        <v>-2.031397184</v>
      </c>
      <c r="AH100" s="320">
        <f t="shared" si="210"/>
        <v>0.8296239629</v>
      </c>
      <c r="AI100" s="11">
        <v>143.56989247311827</v>
      </c>
      <c r="AJ100" s="20">
        <f t="shared" si="211"/>
        <v>-0.7685914875</v>
      </c>
      <c r="AK100" s="321">
        <f t="shared" si="212"/>
        <v>-2.238182087</v>
      </c>
      <c r="AW100" s="319">
        <v>150.0</v>
      </c>
      <c r="AX100" s="320">
        <v>0.6906513330110013</v>
      </c>
      <c r="AY100" s="11">
        <v>154.6810035842294</v>
      </c>
      <c r="AZ100" s="20">
        <f t="shared" si="213"/>
        <v>-0.5095517511</v>
      </c>
      <c r="BA100" s="321">
        <f t="shared" si="214"/>
        <v>-2.350178127</v>
      </c>
      <c r="BB100" s="320">
        <v>1.1431429285892905</v>
      </c>
      <c r="BC100" s="11">
        <v>154.6810035842294</v>
      </c>
      <c r="BD100" s="20" t="str">
        <f t="shared" si="215"/>
        <v>#NUM!</v>
      </c>
      <c r="BE100" s="321">
        <f t="shared" si="216"/>
        <v>-2.131336447</v>
      </c>
      <c r="BF100" s="320">
        <v>0.8029078808349362</v>
      </c>
      <c r="BG100" s="11">
        <v>154.6810035842294</v>
      </c>
      <c r="BH100" s="20">
        <f t="shared" si="217"/>
        <v>-0.7053307409</v>
      </c>
      <c r="BI100" s="321">
        <f t="shared" si="218"/>
        <v>-2.28477126</v>
      </c>
    </row>
    <row r="101" ht="15.75" hidden="1" customHeight="1">
      <c r="A101" s="319">
        <v>250.0</v>
      </c>
      <c r="B101" s="322">
        <v>0.9496688741721857</v>
      </c>
      <c r="C101" s="323">
        <v>198.76702508960577</v>
      </c>
      <c r="D101" s="323">
        <f t="shared" si="199"/>
        <v>-1.298163355</v>
      </c>
      <c r="E101" s="324">
        <f t="shared" si="200"/>
        <v>-2.320772134</v>
      </c>
      <c r="F101" s="322">
        <v>0.8464343512769329</v>
      </c>
      <c r="G101" s="323">
        <v>198.76702508960577</v>
      </c>
      <c r="H101" s="323">
        <f t="shared" si="201"/>
        <v>-0.8137059213</v>
      </c>
      <c r="I101" s="324">
        <f t="shared" si="202"/>
        <v>-2.370751058</v>
      </c>
      <c r="J101" s="322">
        <v>0.9435934269561012</v>
      </c>
      <c r="K101" s="323">
        <v>198.76702508960577</v>
      </c>
      <c r="L101" s="323">
        <f>LOG(1-J101)</f>
        <v>-1.248670285</v>
      </c>
      <c r="M101" s="324">
        <f t="shared" si="204"/>
        <v>-2.323559431</v>
      </c>
      <c r="Y101" s="319">
        <v>250.0</v>
      </c>
      <c r="Z101" s="322">
        <v>0.6619433739206178</v>
      </c>
      <c r="AA101" s="214">
        <v>211.31182795698925</v>
      </c>
      <c r="AB101" s="323">
        <f t="shared" si="205"/>
        <v>-0.4710105473</v>
      </c>
      <c r="AC101" s="324">
        <f t="shared" si="206"/>
        <v>-2.504102968</v>
      </c>
      <c r="AD101" s="322">
        <f t="shared" si="207"/>
        <v>1.545126237</v>
      </c>
      <c r="AE101" s="214">
        <v>211.31182795698925</v>
      </c>
      <c r="AF101" s="323" t="str">
        <f t="shared" si="208"/>
        <v>#NUM!</v>
      </c>
      <c r="AG101" s="324">
        <f t="shared" si="209"/>
        <v>-2.13595984</v>
      </c>
      <c r="AH101" s="322">
        <f t="shared" si="210"/>
        <v>0.9500068885</v>
      </c>
      <c r="AI101" s="214">
        <v>211.31182795698925</v>
      </c>
      <c r="AJ101" s="323">
        <f t="shared" si="211"/>
        <v>-1.301089833</v>
      </c>
      <c r="AK101" s="324">
        <f t="shared" si="212"/>
        <v>-2.347197053</v>
      </c>
      <c r="AW101" s="319">
        <v>250.0</v>
      </c>
      <c r="AX101" s="322">
        <v>0.9520184959776864</v>
      </c>
      <c r="AY101" s="214">
        <v>289.44802867383515</v>
      </c>
      <c r="AZ101" s="323">
        <f t="shared" si="213"/>
        <v>-1.318926143</v>
      </c>
      <c r="BA101" s="324">
        <f t="shared" si="214"/>
        <v>-2.48292521</v>
      </c>
      <c r="BB101" s="322">
        <v>0.9887502231786464</v>
      </c>
      <c r="BC101" s="214">
        <v>289.44802867383515</v>
      </c>
      <c r="BD101" s="323">
        <f t="shared" si="215"/>
        <v>-1.948856093</v>
      </c>
      <c r="BE101" s="324">
        <f t="shared" si="216"/>
        <v>-2.466484002</v>
      </c>
      <c r="BF101" s="322">
        <v>0.965054062720452</v>
      </c>
      <c r="BG101" s="214">
        <v>289.44802867383515</v>
      </c>
      <c r="BH101" s="323">
        <f t="shared" si="217"/>
        <v>-1.456603307</v>
      </c>
      <c r="BI101" s="324">
        <f t="shared" si="218"/>
        <v>-2.477018953</v>
      </c>
    </row>
    <row r="102" ht="15.75" hidden="1" customHeight="1">
      <c r="A102" s="319">
        <v>350.0</v>
      </c>
      <c r="Y102" s="319">
        <v>350.0</v>
      </c>
      <c r="AW102" s="319">
        <v>350.0</v>
      </c>
    </row>
    <row r="103" ht="15.75" hidden="1" customHeight="1"/>
    <row r="104" ht="15.75" hidden="1" customHeight="1"/>
    <row r="105" ht="15.75" hidden="1" customHeight="1">
      <c r="B105" s="166" t="s">
        <v>445</v>
      </c>
      <c r="C105" s="167" t="s">
        <v>446</v>
      </c>
      <c r="D105" s="168" t="s">
        <v>447</v>
      </c>
      <c r="E105" s="166" t="s">
        <v>448</v>
      </c>
      <c r="F105" s="167" t="s">
        <v>449</v>
      </c>
      <c r="G105" s="168" t="s">
        <v>450</v>
      </c>
      <c r="H105" s="166" t="s">
        <v>451</v>
      </c>
      <c r="I105" s="167" t="s">
        <v>452</v>
      </c>
      <c r="J105" s="168" t="s">
        <v>453</v>
      </c>
      <c r="Z105" s="166" t="s">
        <v>454</v>
      </c>
      <c r="AA105" s="167" t="s">
        <v>455</v>
      </c>
      <c r="AB105" s="168" t="s">
        <v>456</v>
      </c>
      <c r="AC105" s="166" t="s">
        <v>457</v>
      </c>
      <c r="AD105" s="167" t="s">
        <v>458</v>
      </c>
      <c r="AE105" s="168" t="s">
        <v>459</v>
      </c>
      <c r="AF105" s="166" t="s">
        <v>460</v>
      </c>
      <c r="AG105" s="167" t="s">
        <v>461</v>
      </c>
      <c r="AH105" s="168" t="s">
        <v>462</v>
      </c>
      <c r="AX105" s="166" t="s">
        <v>463</v>
      </c>
      <c r="AY105" s="167" t="s">
        <v>464</v>
      </c>
      <c r="AZ105" s="168" t="s">
        <v>465</v>
      </c>
      <c r="BA105" s="166" t="s">
        <v>466</v>
      </c>
      <c r="BB105" s="167" t="s">
        <v>467</v>
      </c>
      <c r="BC105" s="168" t="s">
        <v>468</v>
      </c>
      <c r="BD105" s="166" t="s">
        <v>469</v>
      </c>
      <c r="BE105" s="167" t="s">
        <v>470</v>
      </c>
      <c r="BF105" s="168" t="s">
        <v>471</v>
      </c>
    </row>
    <row r="106" ht="15.75" hidden="1" customHeight="1">
      <c r="B106" s="338">
        <f>-EXP(2.4927)</f>
        <v>-12.09388557</v>
      </c>
      <c r="C106" s="305">
        <v>-0.0117</v>
      </c>
      <c r="D106" s="304">
        <v>0.4411</v>
      </c>
      <c r="E106" s="338">
        <f>-EXP(1.5614)</f>
        <v>-4.765488261</v>
      </c>
      <c r="F106" s="305">
        <v>-0.0039</v>
      </c>
      <c r="G106" s="304">
        <v>0.8161</v>
      </c>
      <c r="H106" s="338">
        <f>-EXP(2.0844)</f>
        <v>-8.039766175</v>
      </c>
      <c r="I106" s="305">
        <v>-0.0027</v>
      </c>
      <c r="J106" s="304">
        <v>0.4086</v>
      </c>
      <c r="Z106" s="338">
        <f>EXP(2.2353)</f>
        <v>9.349286217</v>
      </c>
      <c r="AA106" s="305">
        <v>-0.0396</v>
      </c>
      <c r="AB106" s="304">
        <v>0.4888</v>
      </c>
      <c r="AC106" s="338">
        <f>EXP(2.0491)</f>
        <v>7.76091314</v>
      </c>
      <c r="AD106" s="305">
        <v>-0.0069</v>
      </c>
      <c r="AE106" s="304">
        <v>0.6629</v>
      </c>
      <c r="AF106" s="338">
        <f>EXP(1.7052)</f>
        <v>5.502486054</v>
      </c>
      <c r="AG106" s="305">
        <v>-0.0052</v>
      </c>
      <c r="AH106" s="304">
        <v>0.8124</v>
      </c>
      <c r="AX106" s="338">
        <f>EXP(2.4559)</f>
        <v>11.65692006</v>
      </c>
      <c r="AY106" s="305">
        <v>-0.0099</v>
      </c>
      <c r="AZ106" s="304">
        <v>0.5311</v>
      </c>
      <c r="BA106" s="338">
        <f>EXP(2.1316)</f>
        <v>8.428341375</v>
      </c>
      <c r="BB106" s="305">
        <v>-9.0E-4</v>
      </c>
      <c r="BC106" s="304">
        <v>0.1269</v>
      </c>
      <c r="BD106" s="338">
        <f>EXP(2.2815)</f>
        <v>9.791356434</v>
      </c>
      <c r="BE106" s="305">
        <v>-0.0034</v>
      </c>
      <c r="BF106" s="304">
        <v>0.4973</v>
      </c>
    </row>
    <row r="107" ht="15.75" hidden="1" customHeight="1">
      <c r="A107" s="147"/>
      <c r="B107" s="359" t="s">
        <v>472</v>
      </c>
      <c r="C107" s="3"/>
      <c r="D107" s="3"/>
      <c r="E107" s="3"/>
      <c r="F107" s="3"/>
      <c r="G107" s="3"/>
      <c r="H107" s="3"/>
      <c r="I107" s="3"/>
      <c r="J107" s="356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91" t="s">
        <v>473</v>
      </c>
      <c r="AA107" s="91"/>
      <c r="AB107" s="91"/>
      <c r="AC107" s="91"/>
      <c r="AD107" s="91"/>
      <c r="AE107" s="91"/>
      <c r="AF107" s="91"/>
      <c r="AG107" s="91"/>
      <c r="AH107" s="92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91" t="s">
        <v>474</v>
      </c>
      <c r="AY107" s="91"/>
      <c r="AZ107" s="91"/>
      <c r="BA107" s="91"/>
      <c r="BB107" s="91"/>
      <c r="BC107" s="91"/>
      <c r="BD107" s="91"/>
      <c r="BE107" s="91"/>
      <c r="BF107" s="92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</row>
    <row r="108" ht="15.75" hidden="1" customHeight="1">
      <c r="A108" s="147"/>
      <c r="B108" s="187" t="s">
        <v>229</v>
      </c>
      <c r="C108" s="188"/>
      <c r="D108" s="189"/>
      <c r="E108" s="187" t="s">
        <v>230</v>
      </c>
      <c r="F108" s="188"/>
      <c r="G108" s="189"/>
      <c r="H108" s="187" t="s">
        <v>231</v>
      </c>
      <c r="I108" s="188"/>
      <c r="J108" s="189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315" t="s">
        <v>229</v>
      </c>
      <c r="AA108" s="314"/>
      <c r="AB108" s="234"/>
      <c r="AC108" s="187" t="s">
        <v>230</v>
      </c>
      <c r="AD108" s="188"/>
      <c r="AE108" s="189"/>
      <c r="AF108" s="187" t="s">
        <v>231</v>
      </c>
      <c r="AG108" s="188"/>
      <c r="AH108" s="189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315" t="s">
        <v>229</v>
      </c>
      <c r="AY108" s="314"/>
      <c r="AZ108" s="234"/>
      <c r="BA108" s="187" t="s">
        <v>230</v>
      </c>
      <c r="BB108" s="188"/>
      <c r="BC108" s="189"/>
      <c r="BD108" s="187" t="s">
        <v>231</v>
      </c>
      <c r="BE108" s="188"/>
      <c r="BF108" s="189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</row>
    <row r="109" ht="15.75" hidden="1" customHeight="1">
      <c r="A109" s="258" t="s">
        <v>168</v>
      </c>
      <c r="B109" s="317" t="s">
        <v>232</v>
      </c>
      <c r="C109" s="49" t="s">
        <v>233</v>
      </c>
      <c r="D109" s="360" t="s">
        <v>411</v>
      </c>
      <c r="E109" s="317" t="s">
        <v>232</v>
      </c>
      <c r="F109" s="50" t="s">
        <v>233</v>
      </c>
      <c r="G109" s="318" t="s">
        <v>411</v>
      </c>
      <c r="H109" s="317" t="s">
        <v>232</v>
      </c>
      <c r="I109" s="50" t="s">
        <v>233</v>
      </c>
      <c r="J109" s="318" t="s">
        <v>411</v>
      </c>
      <c r="Y109" s="258" t="s">
        <v>168</v>
      </c>
      <c r="Z109" s="317" t="s">
        <v>232</v>
      </c>
      <c r="AA109" s="50" t="s">
        <v>233</v>
      </c>
      <c r="AB109" s="50" t="s">
        <v>411</v>
      </c>
      <c r="AC109" s="317" t="s">
        <v>232</v>
      </c>
      <c r="AD109" s="50" t="s">
        <v>233</v>
      </c>
      <c r="AE109" s="50" t="s">
        <v>411</v>
      </c>
      <c r="AF109" s="317" t="s">
        <v>232</v>
      </c>
      <c r="AG109" s="50" t="s">
        <v>233</v>
      </c>
      <c r="AH109" s="318" t="s">
        <v>411</v>
      </c>
      <c r="AW109" s="258" t="s">
        <v>168</v>
      </c>
      <c r="AX109" s="317" t="s">
        <v>232</v>
      </c>
      <c r="AY109" s="50" t="s">
        <v>233</v>
      </c>
      <c r="AZ109" s="50" t="s">
        <v>411</v>
      </c>
      <c r="BA109" s="317" t="s">
        <v>232</v>
      </c>
      <c r="BB109" s="50" t="s">
        <v>233</v>
      </c>
      <c r="BC109" s="50" t="s">
        <v>411</v>
      </c>
      <c r="BD109" s="317" t="s">
        <v>232</v>
      </c>
      <c r="BE109" s="50" t="s">
        <v>233</v>
      </c>
      <c r="BF109" s="318" t="s">
        <v>411</v>
      </c>
    </row>
    <row r="110" ht="15.75" hidden="1" customHeight="1">
      <c r="A110" s="319">
        <v>50.0</v>
      </c>
      <c r="B110" s="320">
        <v>2.5304659498207887</v>
      </c>
      <c r="C110" s="20">
        <v>8.448130922589387</v>
      </c>
      <c r="D110" s="361">
        <f t="shared" ref="D110:D114" si="219">LN(C110)</f>
        <v>2.133945224</v>
      </c>
      <c r="E110" s="320">
        <v>27.6200716845878</v>
      </c>
      <c r="F110" s="20">
        <v>5.050890008015365</v>
      </c>
      <c r="G110" s="321">
        <f t="shared" ref="G110:G114" si="220">LN(F110)</f>
        <v>1.619564467</v>
      </c>
      <c r="H110" s="320">
        <v>12.924731182795696</v>
      </c>
      <c r="I110" s="20">
        <v>6.994899069379541</v>
      </c>
      <c r="J110" s="321">
        <f t="shared" ref="J110:J114" si="221">LN(I110)</f>
        <v>1.945181179</v>
      </c>
      <c r="Y110" s="319">
        <v>50.0</v>
      </c>
      <c r="Z110" s="320">
        <v>4.681003584229391</v>
      </c>
      <c r="AA110" s="20">
        <v>6.601273545336687</v>
      </c>
      <c r="AB110" s="20">
        <f t="shared" ref="AB110:AB114" si="222">LN(AA110)</f>
        <v>1.887262592</v>
      </c>
      <c r="AC110" s="320">
        <v>7.548387096774192</v>
      </c>
      <c r="AD110" s="20">
        <v>6.197318057836213</v>
      </c>
      <c r="AE110" s="20">
        <f t="shared" ref="AE110:AE114" si="223">LN(AD110)</f>
        <v>1.824116627</v>
      </c>
      <c r="AF110" s="320">
        <v>15.97132616487455</v>
      </c>
      <c r="AG110" s="20">
        <v>5.075859199580501</v>
      </c>
      <c r="AH110" s="321">
        <f t="shared" ref="AH110:AH114" si="224">LN(AG110)</f>
        <v>1.624495811</v>
      </c>
      <c r="AW110" s="319">
        <v>50.0</v>
      </c>
      <c r="AX110" s="320">
        <v>2.351254480286738</v>
      </c>
      <c r="AY110" s="20">
        <v>7.230123505633468</v>
      </c>
      <c r="AZ110" s="20">
        <f t="shared" ref="AZ110:AZ114" si="225">LN(AY110)</f>
        <v>1.978256118</v>
      </c>
      <c r="BA110" s="320">
        <v>9.519713261648745</v>
      </c>
      <c r="BB110" s="20">
        <v>6.326509740684451</v>
      </c>
      <c r="BC110" s="20">
        <f t="shared" ref="BC110:BC114" si="226">LN(BB110)</f>
        <v>1.8447487</v>
      </c>
      <c r="BD110" s="320">
        <v>5.577060931899641</v>
      </c>
      <c r="BE110" s="20">
        <v>6.836149120802889</v>
      </c>
      <c r="BF110" s="321">
        <f t="shared" ref="BF110:BF114" si="227">LN(BE110)</f>
        <v>1.922224579</v>
      </c>
    </row>
    <row r="111" ht="15.75" hidden="1" customHeight="1">
      <c r="A111" s="319">
        <v>75.0</v>
      </c>
      <c r="B111" s="320">
        <v>2.3512544802867383</v>
      </c>
      <c r="C111" s="20">
        <v>13.04230785167831</v>
      </c>
      <c r="D111" s="321">
        <f t="shared" si="219"/>
        <v>2.568198523</v>
      </c>
      <c r="E111" s="320">
        <v>57.189964157706086</v>
      </c>
      <c r="F111" s="20">
        <v>5.612546856856714</v>
      </c>
      <c r="G111" s="321">
        <f t="shared" si="220"/>
        <v>1.725004602</v>
      </c>
      <c r="H111" s="320">
        <v>32.63799283154122</v>
      </c>
      <c r="I111" s="20">
        <v>8.833198692120565</v>
      </c>
      <c r="J111" s="321">
        <f t="shared" si="221"/>
        <v>2.178517202</v>
      </c>
      <c r="Y111" s="319">
        <v>75.0</v>
      </c>
      <c r="Z111" s="320">
        <v>4.860215053763441</v>
      </c>
      <c r="AA111" s="20">
        <v>10.772858799528137</v>
      </c>
      <c r="AB111" s="20">
        <f t="shared" si="222"/>
        <v>2.377029897</v>
      </c>
      <c r="AC111" s="320">
        <v>16.688172043010752</v>
      </c>
      <c r="AD111" s="20">
        <v>9.218974999260887</v>
      </c>
      <c r="AE111" s="20">
        <f t="shared" si="223"/>
        <v>2.22126386</v>
      </c>
      <c r="AF111" s="320">
        <v>32.817204301075265</v>
      </c>
      <c r="AG111" s="20">
        <v>7.046960748799184</v>
      </c>
      <c r="AH111" s="321">
        <f t="shared" si="224"/>
        <v>1.952596424</v>
      </c>
      <c r="AW111" s="319">
        <v>75.0</v>
      </c>
      <c r="AX111" s="320">
        <v>2.5304659498207887</v>
      </c>
      <c r="AY111" s="20">
        <v>11.019271082905224</v>
      </c>
      <c r="AZ111" s="20">
        <f t="shared" si="225"/>
        <v>2.399645657</v>
      </c>
      <c r="BA111" s="320">
        <v>21.34767025089606</v>
      </c>
      <c r="BB111" s="20">
        <v>8.482348979232412</v>
      </c>
      <c r="BC111" s="20">
        <f t="shared" si="226"/>
        <v>2.137987414</v>
      </c>
      <c r="BD111" s="320">
        <v>9.519713261648743</v>
      </c>
      <c r="BE111" s="20">
        <v>11.249502421847936</v>
      </c>
      <c r="BF111" s="321">
        <f t="shared" si="227"/>
        <v>2.420323899</v>
      </c>
    </row>
    <row r="112" ht="15.75" hidden="1" customHeight="1">
      <c r="A112" s="319">
        <v>100.0</v>
      </c>
      <c r="B112" s="320">
        <v>6.831541218637992</v>
      </c>
      <c r="C112" s="20">
        <v>14.567819227317436</v>
      </c>
      <c r="D112" s="321">
        <f t="shared" si="219"/>
        <v>2.678814933</v>
      </c>
      <c r="E112" s="320">
        <v>65.0</v>
      </c>
      <c r="F112" s="20">
        <v>7.0</v>
      </c>
      <c r="G112" s="321">
        <f t="shared" si="220"/>
        <v>1.945910149</v>
      </c>
      <c r="H112" s="320">
        <v>38.19354838709677</v>
      </c>
      <c r="I112" s="20">
        <v>10.49759050607947</v>
      </c>
      <c r="J112" s="321">
        <f t="shared" si="221"/>
        <v>2.351145755</v>
      </c>
      <c r="Y112" s="319">
        <v>100.0</v>
      </c>
      <c r="Z112" s="320">
        <v>5.935483870967742</v>
      </c>
      <c r="AA112" s="20">
        <v>13.901898408523735</v>
      </c>
      <c r="AB112" s="20">
        <f t="shared" si="222"/>
        <v>2.632025407</v>
      </c>
      <c r="AC112" s="320">
        <v>26.00716845878136</v>
      </c>
      <c r="AD112" s="20">
        <v>11.206051440959174</v>
      </c>
      <c r="AE112" s="20">
        <f t="shared" si="223"/>
        <v>2.41645394</v>
      </c>
      <c r="AF112" s="320">
        <v>52.35125448028673</v>
      </c>
      <c r="AG112" s="20">
        <v>7.793846654304835</v>
      </c>
      <c r="AH112" s="321">
        <f t="shared" si="224"/>
        <v>2.053334532</v>
      </c>
      <c r="AW112" s="319">
        <v>100.0</v>
      </c>
      <c r="AX112" s="320">
        <v>2.8888888888888884</v>
      </c>
      <c r="AY112" s="20">
        <v>14.143820326926342</v>
      </c>
      <c r="AZ112" s="20">
        <f t="shared" si="225"/>
        <v>2.649277803</v>
      </c>
      <c r="BA112" s="320">
        <v>31.025089605734763</v>
      </c>
      <c r="BB112" s="20">
        <v>10.459936833883226</v>
      </c>
      <c r="BC112" s="20">
        <f t="shared" si="226"/>
        <v>2.34755242</v>
      </c>
      <c r="BD112" s="320">
        <v>15.97132616487455</v>
      </c>
      <c r="BE112" s="20">
        <v>12.43190091644241</v>
      </c>
      <c r="BF112" s="321">
        <f t="shared" si="227"/>
        <v>2.520265824</v>
      </c>
    </row>
    <row r="113" ht="15.75" hidden="1" customHeight="1">
      <c r="A113" s="319">
        <v>150.0</v>
      </c>
      <c r="B113" s="320">
        <v>12.387096774193548</v>
      </c>
      <c r="C113" s="20">
        <v>19.079139057562784</v>
      </c>
      <c r="D113" s="321">
        <f t="shared" si="219"/>
        <v>2.948595542</v>
      </c>
      <c r="E113" s="320">
        <v>100.55913978494621</v>
      </c>
      <c r="F113" s="20">
        <v>7.168784841064191</v>
      </c>
      <c r="G113" s="321">
        <f t="shared" si="220"/>
        <v>1.969736162</v>
      </c>
      <c r="H113" s="320">
        <v>73.49820788530465</v>
      </c>
      <c r="I113" s="20">
        <v>10.738208905573646</v>
      </c>
      <c r="J113" s="321">
        <f t="shared" si="221"/>
        <v>2.373808307</v>
      </c>
      <c r="Y113" s="319">
        <v>150.0</v>
      </c>
      <c r="Z113" s="320">
        <v>5.577060931899641</v>
      </c>
      <c r="AA113" s="20">
        <v>18.301508975302504</v>
      </c>
      <c r="AB113" s="20">
        <f t="shared" si="222"/>
        <v>2.906983514</v>
      </c>
      <c r="AC113" s="320">
        <v>48.76702508960573</v>
      </c>
      <c r="AD113" s="20">
        <v>12.400822397213869</v>
      </c>
      <c r="AE113" s="20">
        <f t="shared" si="223"/>
        <v>2.517762793</v>
      </c>
      <c r="AF113" s="320">
        <v>76.00716845878135</v>
      </c>
      <c r="AG113" s="20">
        <v>8.901544665920543</v>
      </c>
      <c r="AH113" s="321">
        <f t="shared" si="224"/>
        <v>2.18622482</v>
      </c>
      <c r="AW113" s="319">
        <v>150.0</v>
      </c>
      <c r="AX113" s="320">
        <v>7.189964157706092</v>
      </c>
      <c r="AY113" s="20">
        <v>19.50992466132772</v>
      </c>
      <c r="AZ113" s="20">
        <f t="shared" si="225"/>
        <v>2.970923293</v>
      </c>
      <c r="BA113" s="320">
        <v>71.8853046594982</v>
      </c>
      <c r="BB113" s="20">
        <v>10.991758928743177</v>
      </c>
      <c r="BC113" s="20">
        <f t="shared" si="226"/>
        <v>2.397145804</v>
      </c>
      <c r="BD113" s="320">
        <v>53.24731182795699</v>
      </c>
      <c r="BE113" s="20">
        <v>13.516967690823842</v>
      </c>
      <c r="BF113" s="321">
        <f t="shared" si="227"/>
        <v>2.603945762</v>
      </c>
    </row>
    <row r="114" ht="15.75" hidden="1" customHeight="1">
      <c r="A114" s="319">
        <v>250.0</v>
      </c>
      <c r="B114" s="322">
        <v>48.767025089605724</v>
      </c>
      <c r="C114" s="323">
        <v>19.867549668874176</v>
      </c>
      <c r="D114" s="324">
        <f t="shared" si="219"/>
        <v>2.989087731</v>
      </c>
      <c r="E114" s="322">
        <v>138.55197132616485</v>
      </c>
      <c r="F114" s="323">
        <v>7.8591861771302955</v>
      </c>
      <c r="G114" s="324">
        <f t="shared" si="220"/>
        <v>2.061683061</v>
      </c>
      <c r="H114" s="322">
        <v>121.16845878136199</v>
      </c>
      <c r="I114" s="323">
        <v>10.124392993091213</v>
      </c>
      <c r="J114" s="324">
        <f t="shared" si="221"/>
        <v>2.31494766</v>
      </c>
      <c r="Y114" s="319">
        <v>250.0</v>
      </c>
      <c r="Z114" s="322">
        <v>25.111111111111114</v>
      </c>
      <c r="AA114" s="323">
        <v>24.516421256319177</v>
      </c>
      <c r="AB114" s="323">
        <f t="shared" si="222"/>
        <v>3.199343148</v>
      </c>
      <c r="AC114" s="322">
        <v>103.06810035842292</v>
      </c>
      <c r="AD114" s="323">
        <v>14.34657601273193</v>
      </c>
      <c r="AE114" s="323">
        <f t="shared" si="223"/>
        <v>2.663511308</v>
      </c>
      <c r="AF114" s="322">
        <v>134.43010752688173</v>
      </c>
      <c r="AG114" s="323">
        <v>10.193206958112519</v>
      </c>
      <c r="AH114" s="324">
        <f t="shared" si="224"/>
        <v>2.321721514</v>
      </c>
      <c r="AW114" s="319">
        <v>250.0</v>
      </c>
      <c r="AX114" s="322">
        <v>86.93906810035841</v>
      </c>
      <c r="AY114" s="323">
        <v>26.893177852477017</v>
      </c>
      <c r="AZ114" s="323">
        <f t="shared" si="225"/>
        <v>3.291872643</v>
      </c>
      <c r="BA114" s="322">
        <v>217.40501792114696</v>
      </c>
      <c r="BB114" s="323">
        <v>9.507213684410061</v>
      </c>
      <c r="BC114" s="323">
        <f t="shared" si="226"/>
        <v>2.252050846</v>
      </c>
      <c r="BD114" s="322">
        <v>167.2258064516129</v>
      </c>
      <c r="BE114" s="323">
        <v>16.2467013926002</v>
      </c>
      <c r="BF114" s="324">
        <f t="shared" si="227"/>
        <v>2.787889897</v>
      </c>
    </row>
    <row r="115" ht="15.75" hidden="1" customHeight="1">
      <c r="A115" s="319">
        <v>350.0</v>
      </c>
      <c r="Y115" s="319">
        <v>350.0</v>
      </c>
      <c r="AW115" s="319">
        <v>350.0</v>
      </c>
    </row>
    <row r="116" ht="15.75" hidden="1" customHeight="1"/>
    <row r="117" ht="15.75" hidden="1" customHeight="1"/>
    <row r="118" ht="15.75" customHeight="1"/>
    <row r="119" ht="15.75" customHeight="1"/>
    <row r="120" ht="15.75" customHeight="1"/>
    <row r="121" ht="15.75" customHeight="1"/>
    <row r="122" ht="15.75" customHeight="1">
      <c r="B122" s="166" t="s">
        <v>496</v>
      </c>
      <c r="C122" s="167" t="s">
        <v>497</v>
      </c>
      <c r="D122" s="167" t="s">
        <v>499</v>
      </c>
      <c r="E122" s="168" t="s">
        <v>501</v>
      </c>
      <c r="G122" s="166" t="s">
        <v>502</v>
      </c>
      <c r="H122" s="167" t="s">
        <v>504</v>
      </c>
      <c r="I122" s="167" t="s">
        <v>505</v>
      </c>
      <c r="J122" s="168" t="s">
        <v>506</v>
      </c>
      <c r="L122" s="166" t="s">
        <v>507</v>
      </c>
      <c r="M122" s="167" t="s">
        <v>508</v>
      </c>
      <c r="N122" s="167" t="s">
        <v>509</v>
      </c>
      <c r="O122" s="168" t="s">
        <v>516</v>
      </c>
      <c r="Z122" s="166" t="s">
        <v>517</v>
      </c>
      <c r="AA122" s="167" t="s">
        <v>518</v>
      </c>
      <c r="AB122" s="167" t="s">
        <v>519</v>
      </c>
      <c r="AC122" s="168" t="s">
        <v>520</v>
      </c>
      <c r="AE122" s="166" t="s">
        <v>521</v>
      </c>
      <c r="AF122" s="167" t="s">
        <v>522</v>
      </c>
      <c r="AG122" s="167" t="s">
        <v>523</v>
      </c>
      <c r="AH122" s="168" t="s">
        <v>524</v>
      </c>
      <c r="AJ122" s="166" t="s">
        <v>525</v>
      </c>
      <c r="AK122" s="167" t="s">
        <v>526</v>
      </c>
      <c r="AL122" s="167" t="s">
        <v>527</v>
      </c>
      <c r="AM122" s="168" t="s">
        <v>528</v>
      </c>
      <c r="AX122" s="166" t="s">
        <v>529</v>
      </c>
      <c r="AY122" s="167" t="s">
        <v>530</v>
      </c>
      <c r="AZ122" s="167" t="s">
        <v>531</v>
      </c>
      <c r="BA122" s="168" t="s">
        <v>532</v>
      </c>
      <c r="BC122" s="166" t="s">
        <v>533</v>
      </c>
      <c r="BD122" s="167" t="s">
        <v>534</v>
      </c>
      <c r="BE122" s="167" t="s">
        <v>535</v>
      </c>
      <c r="BF122" s="168" t="s">
        <v>536</v>
      </c>
      <c r="BH122" s="166" t="s">
        <v>537</v>
      </c>
      <c r="BI122" s="167" t="s">
        <v>538</v>
      </c>
      <c r="BJ122" s="167" t="s">
        <v>539</v>
      </c>
      <c r="BK122" s="168" t="s">
        <v>540</v>
      </c>
    </row>
    <row r="123" ht="15.75" customHeight="1">
      <c r="B123" s="230">
        <f>-(-0.0015)</f>
        <v>0.0015</v>
      </c>
      <c r="C123" s="232">
        <f>-(1/(-0.0015))</f>
        <v>666.6666667</v>
      </c>
      <c r="D123" s="232">
        <f>0.0025*C123</f>
        <v>1.666666667</v>
      </c>
      <c r="E123" s="235">
        <v>0.758</v>
      </c>
      <c r="G123" s="240">
        <f>-(-0.0013)</f>
        <v>0.0013</v>
      </c>
      <c r="H123" s="242">
        <f>-(1/(-0.0013))</f>
        <v>769.2307692</v>
      </c>
      <c r="I123" s="242">
        <f>0.004*H123</f>
        <v>3.076923077</v>
      </c>
      <c r="J123" s="244">
        <v>0.9874</v>
      </c>
      <c r="L123" s="230">
        <f>-(-0.0023)</f>
        <v>0.0023</v>
      </c>
      <c r="M123" s="232">
        <f>-(1/(-0.0023))</f>
        <v>434.7826087</v>
      </c>
      <c r="N123" s="232">
        <f>0.0067*M123</f>
        <v>2.913043478</v>
      </c>
      <c r="O123" s="235">
        <v>0.8737</v>
      </c>
      <c r="Z123" s="240">
        <f>-(-0.0018)</f>
        <v>0.0018</v>
      </c>
      <c r="AA123" s="242">
        <f>-(1/(-0.0018))</f>
        <v>555.5555556</v>
      </c>
      <c r="AB123" s="242">
        <f>0.0028*AA123</f>
        <v>1.555555556</v>
      </c>
      <c r="AC123" s="244">
        <v>0.8704</v>
      </c>
      <c r="AE123" s="240">
        <f>-(-0.0013)</f>
        <v>0.0013</v>
      </c>
      <c r="AF123" s="242">
        <f>-(1/(-0.0013))</f>
        <v>769.2307692</v>
      </c>
      <c r="AG123" s="242">
        <f>0.0029*AF123</f>
        <v>2.230769231</v>
      </c>
      <c r="AH123" s="244">
        <v>0.8846</v>
      </c>
      <c r="AJ123" s="362">
        <f>-(-0.0018)</f>
        <v>0.0018</v>
      </c>
      <c r="AK123" s="363">
        <f>-(1/(-0.0018))</f>
        <v>555.5555556</v>
      </c>
      <c r="AL123" s="363">
        <f>0.0042*AK123</f>
        <v>2.333333333</v>
      </c>
      <c r="AM123" s="364">
        <v>0.74</v>
      </c>
      <c r="AX123" s="365">
        <f>-(-0.0015)</f>
        <v>0.0015</v>
      </c>
      <c r="AY123" s="232">
        <f>-(1/(-0.0015))</f>
        <v>666.6666667</v>
      </c>
      <c r="AZ123" s="232">
        <f>0.0027*AY123</f>
        <v>1.8</v>
      </c>
      <c r="BA123" s="235">
        <v>0.6155</v>
      </c>
      <c r="BC123" s="240">
        <f>-(0.0028)</f>
        <v>-0.0028</v>
      </c>
      <c r="BD123" s="242">
        <f>-(1/(-0.0028))</f>
        <v>357.1428571</v>
      </c>
      <c r="BE123" s="242">
        <f>0.0076*BD123</f>
        <v>2.714285714</v>
      </c>
      <c r="BF123" s="244">
        <v>0.9866</v>
      </c>
      <c r="BH123" s="230">
        <f>-(-0.001)</f>
        <v>0.001</v>
      </c>
      <c r="BI123" s="232">
        <f>-(1/(-0.001))</f>
        <v>1000</v>
      </c>
      <c r="BJ123" s="232">
        <f>0.0038*BI123</f>
        <v>3.8</v>
      </c>
      <c r="BK123" s="244">
        <v>0.992</v>
      </c>
    </row>
    <row r="124" ht="15.75" customHeight="1">
      <c r="A124" s="147"/>
      <c r="B124" s="185" t="s">
        <v>592</v>
      </c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2"/>
      <c r="Q124" s="147"/>
      <c r="R124" s="147"/>
      <c r="S124" s="147"/>
      <c r="T124" s="147"/>
      <c r="U124" s="147"/>
      <c r="V124" s="147"/>
      <c r="W124" s="147"/>
      <c r="X124" s="147"/>
      <c r="Y124" s="147"/>
      <c r="Z124" s="185" t="s">
        <v>599</v>
      </c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2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85" t="s">
        <v>603</v>
      </c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2"/>
      <c r="BM124" s="147"/>
      <c r="BN124" s="147"/>
      <c r="BO124" s="147"/>
      <c r="BP124" s="147"/>
      <c r="BQ124" s="147"/>
      <c r="BR124" s="147"/>
      <c r="BS124" s="147"/>
      <c r="BT124" s="147"/>
      <c r="BU124" s="147"/>
    </row>
    <row r="125" ht="15.75" customHeight="1">
      <c r="A125" s="147"/>
      <c r="B125" s="187" t="s">
        <v>229</v>
      </c>
      <c r="C125" s="188"/>
      <c r="D125" s="188"/>
      <c r="E125" s="188"/>
      <c r="F125" s="190"/>
      <c r="G125" s="187" t="s">
        <v>230</v>
      </c>
      <c r="H125" s="188"/>
      <c r="I125" s="188"/>
      <c r="J125" s="188"/>
      <c r="K125" s="190"/>
      <c r="L125" s="187" t="s">
        <v>231</v>
      </c>
      <c r="M125" s="188"/>
      <c r="N125" s="188"/>
      <c r="O125" s="188"/>
      <c r="P125" s="189"/>
      <c r="Q125" s="147"/>
      <c r="R125" s="147"/>
      <c r="S125" s="147"/>
      <c r="T125" s="147"/>
      <c r="U125" s="147"/>
      <c r="V125" s="147"/>
      <c r="W125" s="147"/>
      <c r="X125" s="147"/>
      <c r="Y125" s="147"/>
      <c r="Z125" s="187" t="s">
        <v>229</v>
      </c>
      <c r="AA125" s="188"/>
      <c r="AB125" s="188"/>
      <c r="AC125" s="188"/>
      <c r="AD125" s="189"/>
      <c r="AE125" s="187" t="s">
        <v>230</v>
      </c>
      <c r="AF125" s="188"/>
      <c r="AG125" s="188"/>
      <c r="AH125" s="188"/>
      <c r="AI125" s="189"/>
      <c r="AJ125" s="191" t="s">
        <v>231</v>
      </c>
      <c r="AK125" s="91"/>
      <c r="AL125" s="91"/>
      <c r="AM125" s="91"/>
      <c r="AN125" s="92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87" t="s">
        <v>229</v>
      </c>
      <c r="AY125" s="188"/>
      <c r="AZ125" s="188"/>
      <c r="BA125" s="188"/>
      <c r="BB125" s="189"/>
      <c r="BC125" s="187" t="s">
        <v>230</v>
      </c>
      <c r="BD125" s="188"/>
      <c r="BE125" s="188"/>
      <c r="BF125" s="188"/>
      <c r="BG125" s="189"/>
      <c r="BH125" s="191" t="s">
        <v>231</v>
      </c>
      <c r="BI125" s="91"/>
      <c r="BJ125" s="91"/>
      <c r="BK125" s="91"/>
      <c r="BL125" s="92"/>
      <c r="BM125" s="147"/>
      <c r="BN125" s="147"/>
      <c r="BO125" s="147"/>
      <c r="BP125" s="147"/>
      <c r="BQ125" s="147"/>
      <c r="BR125" s="147"/>
      <c r="BS125" s="147"/>
      <c r="BT125" s="147"/>
      <c r="BU125" s="147"/>
    </row>
    <row r="126" ht="15.75" customHeight="1">
      <c r="A126" s="258" t="s">
        <v>168</v>
      </c>
      <c r="B126" s="166" t="s">
        <v>232</v>
      </c>
      <c r="C126" s="167" t="s">
        <v>233</v>
      </c>
      <c r="D126" s="167" t="s">
        <v>604</v>
      </c>
      <c r="E126" s="167" t="s">
        <v>605</v>
      </c>
      <c r="F126" s="168" t="s">
        <v>171</v>
      </c>
      <c r="G126" s="166" t="s">
        <v>232</v>
      </c>
      <c r="H126" s="167" t="s">
        <v>233</v>
      </c>
      <c r="I126" s="167" t="s">
        <v>604</v>
      </c>
      <c r="J126" s="167" t="s">
        <v>606</v>
      </c>
      <c r="K126" s="168" t="s">
        <v>171</v>
      </c>
      <c r="L126" s="166" t="s">
        <v>232</v>
      </c>
      <c r="M126" s="167" t="s">
        <v>233</v>
      </c>
      <c r="N126" s="167" t="s">
        <v>604</v>
      </c>
      <c r="O126" s="167" t="s">
        <v>607</v>
      </c>
      <c r="P126" s="168" t="s">
        <v>171</v>
      </c>
      <c r="Y126" s="258" t="s">
        <v>168</v>
      </c>
      <c r="Z126" s="166" t="s">
        <v>232</v>
      </c>
      <c r="AA126" s="167" t="s">
        <v>233</v>
      </c>
      <c r="AB126" s="167" t="s">
        <v>604</v>
      </c>
      <c r="AC126" s="167" t="s">
        <v>608</v>
      </c>
      <c r="AD126" s="168" t="s">
        <v>171</v>
      </c>
      <c r="AE126" s="166" t="s">
        <v>232</v>
      </c>
      <c r="AF126" s="167" t="s">
        <v>233</v>
      </c>
      <c r="AG126" s="167" t="s">
        <v>604</v>
      </c>
      <c r="AH126" s="167" t="s">
        <v>609</v>
      </c>
      <c r="AI126" s="168" t="s">
        <v>171</v>
      </c>
      <c r="AJ126" s="166" t="s">
        <v>232</v>
      </c>
      <c r="AK126" s="167" t="s">
        <v>233</v>
      </c>
      <c r="AL126" s="167" t="s">
        <v>604</v>
      </c>
      <c r="AM126" s="167" t="s">
        <v>610</v>
      </c>
      <c r="AN126" s="168" t="s">
        <v>171</v>
      </c>
      <c r="AW126" s="258" t="s">
        <v>168</v>
      </c>
      <c r="AX126" s="166" t="s">
        <v>232</v>
      </c>
      <c r="AY126" s="167" t="s">
        <v>233</v>
      </c>
      <c r="AZ126" s="167" t="s">
        <v>604</v>
      </c>
      <c r="BA126" s="167" t="s">
        <v>611</v>
      </c>
      <c r="BB126" s="168" t="s">
        <v>171</v>
      </c>
      <c r="BC126" s="166" t="s">
        <v>232</v>
      </c>
      <c r="BD126" s="167" t="s">
        <v>233</v>
      </c>
      <c r="BE126" s="167" t="s">
        <v>604</v>
      </c>
      <c r="BF126" s="167" t="s">
        <v>612</v>
      </c>
      <c r="BG126" s="168" t="s">
        <v>171</v>
      </c>
      <c r="BH126" s="166" t="s">
        <v>232</v>
      </c>
      <c r="BI126" s="167" t="s">
        <v>233</v>
      </c>
      <c r="BJ126" s="167" t="s">
        <v>604</v>
      </c>
      <c r="BK126" s="167" t="s">
        <v>613</v>
      </c>
      <c r="BL126" s="168" t="s">
        <v>171</v>
      </c>
    </row>
    <row r="127" ht="15.75" customHeight="1">
      <c r="A127" s="196">
        <v>100.0</v>
      </c>
      <c r="B127" s="197">
        <v>1.01</v>
      </c>
      <c r="C127" s="14">
        <v>17.91</v>
      </c>
      <c r="D127" s="20">
        <f t="shared" ref="D127:D130" si="228">LOG(B127)</f>
        <v>0.004321373783</v>
      </c>
      <c r="E127" s="43">
        <f t="shared" ref="E127:E130" si="229">1/(C127^2)</f>
        <v>0.003117516985</v>
      </c>
      <c r="F127" s="260">
        <f t="shared" ref="F127:F129" si="230">($C$123/($D$123-LOG(B127)))^(1/2)</f>
        <v>20.02597877</v>
      </c>
      <c r="G127" s="198">
        <v>3.4302741358760427</v>
      </c>
      <c r="H127" s="199">
        <v>17.421533571712352</v>
      </c>
      <c r="I127" s="20">
        <f t="shared" ref="I127:I130" si="231">LOG(G127)</f>
        <v>0.5353288288</v>
      </c>
      <c r="J127" s="20">
        <f t="shared" ref="J127:J130" si="232">1/(H127^2)</f>
        <v>0.00329478618</v>
      </c>
      <c r="K127" s="260">
        <f t="shared" ref="K127:K130" si="233">($H$123/($I$123-LOG(G127)))^(1/2)</f>
        <v>17.39703409</v>
      </c>
      <c r="L127" s="151">
        <v>14.455303933253873</v>
      </c>
      <c r="M127" s="11">
        <v>15.216527612236789</v>
      </c>
      <c r="N127" s="20">
        <f t="shared" ref="N127:N130" si="234">LOG(L127)</f>
        <v>1.160027227</v>
      </c>
      <c r="O127" s="20">
        <f t="shared" ref="O127:O130" si="235">1/(M127^2)</f>
        <v>0.004318857583</v>
      </c>
      <c r="P127" s="260">
        <f t="shared" ref="P127:P130" si="236">($M$123/($N$123-LOG(L127)))^(1/2)</f>
        <v>15.74864201</v>
      </c>
      <c r="Y127" s="196">
        <v>100.0</v>
      </c>
      <c r="Z127" s="198">
        <v>1.05</v>
      </c>
      <c r="AA127" s="199">
        <v>17.9</v>
      </c>
      <c r="AB127" s="20">
        <f t="shared" ref="AB127:AB130" si="237">LOG(Z127)</f>
        <v>0.02118929907</v>
      </c>
      <c r="AC127" s="43">
        <f t="shared" ref="AC127:AC130" si="238">1/(AA127^2)</f>
        <v>0.003121001217</v>
      </c>
      <c r="AD127" s="264">
        <f t="shared" ref="AD127:AD130" si="239">($AA$123/($AB$123-AB127))^(1/2)</f>
        <v>19.02826662</v>
      </c>
      <c r="AE127" s="198">
        <v>1.03</v>
      </c>
      <c r="AF127" s="199">
        <v>17.9</v>
      </c>
      <c r="AG127" s="20">
        <f t="shared" ref="AG127:AG130" si="240">LOG(AE127)</f>
        <v>0.01283722471</v>
      </c>
      <c r="AH127" s="20">
        <f t="shared" ref="AH127:AH130" si="241">1/(AF127^2)</f>
        <v>0.003121001217</v>
      </c>
      <c r="AI127" s="264">
        <f t="shared" ref="AI127:AI130" si="242">($AF$123/($AG$123-(LOG(AE127))))^(1/2)</f>
        <v>18.62319582</v>
      </c>
      <c r="AJ127" s="198">
        <v>5.79141835518474</v>
      </c>
      <c r="AK127" s="199">
        <v>16.9493047278506</v>
      </c>
      <c r="AL127" s="20">
        <f t="shared" ref="AL127:AL130" si="243">LOG(AJ127)</f>
        <v>0.7627849382</v>
      </c>
      <c r="AM127" s="20">
        <f t="shared" ref="AM127:AM130" si="244">1/(AK127^2)</f>
        <v>0.003480937489</v>
      </c>
      <c r="AN127" s="264">
        <f t="shared" ref="AN127:AN130" si="245">($AK$123/($AL$123-AL127))^(1/2)</f>
        <v>18.80780381</v>
      </c>
      <c r="AW127" s="196">
        <v>100.0</v>
      </c>
      <c r="AX127" s="151">
        <v>1.7914183551847436</v>
      </c>
      <c r="AY127" s="11">
        <v>17.749304727850614</v>
      </c>
      <c r="AZ127" s="20">
        <f t="shared" ref="AZ127:AZ130" si="246">LOG(AX127)</f>
        <v>0.2531970198</v>
      </c>
      <c r="BA127" s="43">
        <f t="shared" ref="BA127:BA130" si="247">1/(AY127^2)</f>
        <v>0.003174222083</v>
      </c>
      <c r="BB127" s="264">
        <f t="shared" ref="BB127:BB130" si="248">($AY$123/($AZ$123-(LOG(AX127))))^(1/2)</f>
        <v>20.76045513</v>
      </c>
      <c r="BC127" s="198">
        <v>14.902264600715139</v>
      </c>
      <c r="BD127" s="199">
        <v>15.127135478744535</v>
      </c>
      <c r="BE127" s="20">
        <f t="shared" ref="BE127:BE130" si="249">LOG(BC127)</f>
        <v>1.17325227</v>
      </c>
      <c r="BF127" s="20">
        <f t="shared" ref="BF127:BF130" si="250">1/(BD127^2)</f>
        <v>0.004370052023</v>
      </c>
      <c r="BG127" s="264">
        <f t="shared" ref="BG127:BG130" si="251">($BD$123/($BE$123-(LOG(BC127))))^(1/2)</f>
        <v>15.22351545</v>
      </c>
      <c r="BH127" s="151">
        <v>3.4302741358760436</v>
      </c>
      <c r="BI127" s="11">
        <v>17.421533571712352</v>
      </c>
      <c r="BJ127" s="20">
        <f t="shared" ref="BJ127:BJ130" si="252">LOG(BH127)</f>
        <v>0.5353288288</v>
      </c>
      <c r="BK127" s="20">
        <f t="shared" ref="BK127:BK130" si="253">1/(BI127^2)</f>
        <v>0.00329478618</v>
      </c>
      <c r="BL127" s="264">
        <f t="shared" ref="BL127:BL130" si="254">($BI$123/($BJ$123-(LOG(BH127))))^(1/2)</f>
        <v>17.50170172</v>
      </c>
    </row>
    <row r="128" ht="15.75" customHeight="1">
      <c r="A128" s="196">
        <v>200.0</v>
      </c>
      <c r="B128" s="151">
        <v>4.32419547079857</v>
      </c>
      <c r="C128" s="11">
        <v>38.77632101708383</v>
      </c>
      <c r="D128" s="20">
        <f t="shared" si="228"/>
        <v>0.6359053176</v>
      </c>
      <c r="E128" s="43">
        <f t="shared" si="229"/>
        <v>0.0006650691388</v>
      </c>
      <c r="F128" s="260">
        <f t="shared" si="230"/>
        <v>25.43169508</v>
      </c>
      <c r="G128" s="198">
        <v>77.77473182359952</v>
      </c>
      <c r="H128" s="199">
        <v>24.08621374652364</v>
      </c>
      <c r="I128" s="20">
        <f t="shared" si="231"/>
        <v>1.890838522</v>
      </c>
      <c r="J128" s="20">
        <f t="shared" si="232"/>
        <v>0.001723704946</v>
      </c>
      <c r="K128" s="260">
        <f t="shared" si="233"/>
        <v>25.46657254</v>
      </c>
      <c r="L128" s="151">
        <v>77.17878426698451</v>
      </c>
      <c r="M128" s="11">
        <v>24.20540325784664</v>
      </c>
      <c r="N128" s="20">
        <f t="shared" si="234"/>
        <v>1.887497933</v>
      </c>
      <c r="O128" s="20">
        <f t="shared" si="235"/>
        <v>0.001706771394</v>
      </c>
      <c r="P128" s="260">
        <f t="shared" si="236"/>
        <v>20.59010711</v>
      </c>
      <c r="Y128" s="196">
        <v>200.0</v>
      </c>
      <c r="Z128" s="151">
        <v>5.814064362336113</v>
      </c>
      <c r="AA128" s="11">
        <v>38.47834723877632</v>
      </c>
      <c r="AB128" s="20">
        <f t="shared" si="237"/>
        <v>0.7644798351</v>
      </c>
      <c r="AC128" s="43">
        <f t="shared" si="238"/>
        <v>0.000675409525</v>
      </c>
      <c r="AD128" s="264">
        <f t="shared" si="239"/>
        <v>26.50053976</v>
      </c>
      <c r="AE128" s="151">
        <v>16.392133492252682</v>
      </c>
      <c r="AF128" s="11">
        <v>36.36273341279301</v>
      </c>
      <c r="AG128" s="20">
        <f t="shared" si="240"/>
        <v>1.214635482</v>
      </c>
      <c r="AH128" s="20">
        <f t="shared" si="241"/>
        <v>0.0007562875585</v>
      </c>
      <c r="AI128" s="264">
        <f t="shared" si="242"/>
        <v>27.51394634</v>
      </c>
      <c r="AJ128" s="198">
        <v>19.073897497020262</v>
      </c>
      <c r="AK128" s="210">
        <v>32.25474771553428</v>
      </c>
      <c r="AL128" s="20">
        <f t="shared" si="243"/>
        <v>1.280439444</v>
      </c>
      <c r="AM128" s="20">
        <f t="shared" si="244"/>
        <v>0.0009611976521</v>
      </c>
      <c r="AN128" s="264">
        <f t="shared" si="245"/>
        <v>22.9705527</v>
      </c>
      <c r="AW128" s="196">
        <v>200.0</v>
      </c>
      <c r="AX128" s="151">
        <v>4.3241954707985695</v>
      </c>
      <c r="AY128" s="11">
        <v>38.77632101708383</v>
      </c>
      <c r="AZ128" s="20">
        <f t="shared" si="246"/>
        <v>0.6359053176</v>
      </c>
      <c r="BA128" s="43">
        <f t="shared" si="247"/>
        <v>0.0006650691388</v>
      </c>
      <c r="BB128" s="264">
        <f t="shared" si="248"/>
        <v>23.93096534</v>
      </c>
      <c r="BC128" s="198">
        <v>97.14302741358762</v>
      </c>
      <c r="BD128" s="210">
        <v>23.0</v>
      </c>
      <c r="BE128" s="20">
        <f t="shared" si="249"/>
        <v>1.987411634</v>
      </c>
      <c r="BF128" s="20">
        <f t="shared" si="250"/>
        <v>0.001890359168</v>
      </c>
      <c r="BG128" s="264">
        <f t="shared" si="251"/>
        <v>22.16620743</v>
      </c>
      <c r="BH128" s="151">
        <v>78.8176400476758</v>
      </c>
      <c r="BI128" s="11">
        <v>23.877632101708386</v>
      </c>
      <c r="BJ128" s="20">
        <f t="shared" si="252"/>
        <v>1.896623427</v>
      </c>
      <c r="BK128" s="20">
        <f t="shared" si="253"/>
        <v>0.001753951124</v>
      </c>
      <c r="BL128" s="264">
        <f t="shared" si="254"/>
        <v>22.92121528</v>
      </c>
    </row>
    <row r="129" ht="15.75" customHeight="1">
      <c r="A129" s="196">
        <v>300.0</v>
      </c>
      <c r="B129" s="151">
        <v>32.33373063170441</v>
      </c>
      <c r="C129" s="11">
        <v>48.013508144616594</v>
      </c>
      <c r="D129" s="20">
        <f t="shared" si="228"/>
        <v>1.509655816</v>
      </c>
      <c r="E129" s="43">
        <f t="shared" si="229"/>
        <v>0.0004337835929</v>
      </c>
      <c r="F129" s="260">
        <f t="shared" si="230"/>
        <v>65.16126954</v>
      </c>
      <c r="G129" s="198">
        <v>128.2812872467223</v>
      </c>
      <c r="H129" s="199">
        <v>28.823996821613022</v>
      </c>
      <c r="I129" s="20">
        <f t="shared" si="231"/>
        <v>2.108163309</v>
      </c>
      <c r="J129" s="20">
        <f t="shared" si="232"/>
        <v>0.001203626103</v>
      </c>
      <c r="K129" s="260">
        <f t="shared" si="233"/>
        <v>28.17865609</v>
      </c>
      <c r="L129" s="151">
        <v>150.1823599523242</v>
      </c>
      <c r="M129" s="11">
        <v>24.4437822804926</v>
      </c>
      <c r="N129" s="20">
        <f t="shared" si="234"/>
        <v>2.176618925</v>
      </c>
      <c r="O129" s="20">
        <f t="shared" si="235"/>
        <v>0.001673644391</v>
      </c>
      <c r="P129" s="260">
        <f t="shared" si="236"/>
        <v>24.29807968</v>
      </c>
      <c r="Y129" s="196">
        <v>300.0</v>
      </c>
      <c r="Z129" s="151">
        <v>26.67222884386174</v>
      </c>
      <c r="AA129" s="11">
        <v>52.0</v>
      </c>
      <c r="AB129" s="20">
        <f t="shared" si="237"/>
        <v>1.426059309</v>
      </c>
      <c r="AC129" s="43">
        <f t="shared" si="238"/>
        <v>0.0003698224852</v>
      </c>
      <c r="AD129" s="264">
        <f t="shared" si="239"/>
        <v>65.49907347</v>
      </c>
      <c r="AE129" s="151">
        <v>61.68414779499404</v>
      </c>
      <c r="AF129" s="11">
        <v>42.14342471195867</v>
      </c>
      <c r="AG129" s="20">
        <f t="shared" si="240"/>
        <v>1.790173569</v>
      </c>
      <c r="AH129" s="20">
        <f t="shared" si="241"/>
        <v>0.000563041427</v>
      </c>
      <c r="AI129" s="264">
        <f t="shared" si="242"/>
        <v>41.78382708</v>
      </c>
      <c r="AJ129" s="198">
        <v>111.127532777116</v>
      </c>
      <c r="AK129" s="211">
        <v>35.83</v>
      </c>
      <c r="AL129" s="20">
        <f t="shared" si="243"/>
        <v>2.045821672</v>
      </c>
      <c r="AM129" s="20">
        <f t="shared" si="244"/>
        <v>0.0007789442641</v>
      </c>
      <c r="AN129" s="372">
        <f t="shared" si="245"/>
        <v>43.95780677</v>
      </c>
      <c r="AW129" s="196">
        <v>300.0</v>
      </c>
      <c r="AX129" s="151">
        <v>22.351609058402857</v>
      </c>
      <c r="AY129" s="11">
        <v>50.00993245927691</v>
      </c>
      <c r="AZ129" s="20">
        <f t="shared" si="246"/>
        <v>1.349308793</v>
      </c>
      <c r="BA129" s="43">
        <f t="shared" si="247"/>
        <v>0.000399841128</v>
      </c>
      <c r="BB129" s="264">
        <f t="shared" si="248"/>
        <v>38.46049131</v>
      </c>
      <c r="BC129" s="198">
        <v>141.0</v>
      </c>
      <c r="BD129" s="199">
        <v>26.28025427095748</v>
      </c>
      <c r="BE129" s="20">
        <f t="shared" si="249"/>
        <v>2.149219113</v>
      </c>
      <c r="BF129" s="20">
        <f t="shared" si="250"/>
        <v>0.001447907689</v>
      </c>
      <c r="BG129" s="264">
        <f t="shared" si="251"/>
        <v>25.14034104</v>
      </c>
      <c r="BH129" s="151">
        <v>148.99046483909416</v>
      </c>
      <c r="BI129" s="11">
        <v>24.68216130313865</v>
      </c>
      <c r="BJ129" s="20">
        <f t="shared" si="252"/>
        <v>2.173158475</v>
      </c>
      <c r="BK129" s="20">
        <f t="shared" si="253"/>
        <v>0.001641472562</v>
      </c>
      <c r="BL129" s="264">
        <f t="shared" si="254"/>
        <v>24.79290267</v>
      </c>
    </row>
    <row r="130" ht="15.75" customHeight="1">
      <c r="A130" s="212">
        <v>400.0</v>
      </c>
      <c r="B130" s="213">
        <v>54.085816448152556</v>
      </c>
      <c r="C130" s="214">
        <v>62.038140643623365</v>
      </c>
      <c r="D130" s="20">
        <f t="shared" si="228"/>
        <v>1.73308339</v>
      </c>
      <c r="E130" s="43">
        <f t="shared" si="229"/>
        <v>0.0002598259082</v>
      </c>
      <c r="F130" s="264">
        <v>101.0</v>
      </c>
      <c r="G130" s="215">
        <v>200.0</v>
      </c>
      <c r="H130" s="210">
        <v>32.86</v>
      </c>
      <c r="I130" s="20">
        <f t="shared" si="231"/>
        <v>2.301029996</v>
      </c>
      <c r="J130" s="20">
        <f t="shared" si="232"/>
        <v>0.000926114922</v>
      </c>
      <c r="K130" s="260">
        <f t="shared" si="233"/>
        <v>31.48671725</v>
      </c>
      <c r="L130" s="213">
        <v>240.17044100119188</v>
      </c>
      <c r="M130" s="214">
        <v>24.8212157330155</v>
      </c>
      <c r="N130" s="20">
        <f t="shared" si="234"/>
        <v>2.380519556</v>
      </c>
      <c r="O130" s="20">
        <f t="shared" si="235"/>
        <v>0.00162313223</v>
      </c>
      <c r="P130" s="260">
        <f t="shared" si="236"/>
        <v>28.57370264</v>
      </c>
      <c r="Y130" s="212">
        <v>400.0</v>
      </c>
      <c r="Z130" s="217">
        <v>32.0</v>
      </c>
      <c r="AA130" s="218">
        <v>66.46</v>
      </c>
      <c r="AB130" s="20">
        <f t="shared" si="237"/>
        <v>1.505149978</v>
      </c>
      <c r="AC130" s="43">
        <f t="shared" si="238"/>
        <v>0.0002264015137</v>
      </c>
      <c r="AD130" s="264">
        <f t="shared" si="239"/>
        <v>104.9843228</v>
      </c>
      <c r="AE130" s="219">
        <v>144.22288438617403</v>
      </c>
      <c r="AF130" s="214">
        <v>44.01072705601908</v>
      </c>
      <c r="AG130" s="20">
        <f t="shared" si="240"/>
        <v>2.159034177</v>
      </c>
      <c r="AH130" s="20">
        <f t="shared" si="241"/>
        <v>0.0005162771616</v>
      </c>
      <c r="AI130" s="270">
        <f t="shared" si="242"/>
        <v>103.552982</v>
      </c>
      <c r="AJ130" s="219">
        <v>150.0</v>
      </c>
      <c r="AK130" s="210">
        <v>41.0</v>
      </c>
      <c r="AL130" s="20">
        <f t="shared" si="243"/>
        <v>2.176091259</v>
      </c>
      <c r="AM130" s="20">
        <f t="shared" si="244"/>
        <v>0.0005948839976</v>
      </c>
      <c r="AN130" s="372">
        <f t="shared" si="245"/>
        <v>59.44007727</v>
      </c>
      <c r="AW130" s="212">
        <v>400.0</v>
      </c>
      <c r="AX130" s="219">
        <v>76.880810488677</v>
      </c>
      <c r="AY130" s="214">
        <v>57.479141835518476</v>
      </c>
      <c r="AZ130" s="20">
        <f t="shared" si="246"/>
        <v>1.885817953</v>
      </c>
      <c r="BA130" s="43">
        <f t="shared" si="247"/>
        <v>0.0003026770197</v>
      </c>
      <c r="BB130" s="373" t="str">
        <f t="shared" si="248"/>
        <v>#NUM!</v>
      </c>
      <c r="BC130" s="219">
        <v>214.5</v>
      </c>
      <c r="BD130" s="220">
        <v>28.0</v>
      </c>
      <c r="BE130" s="20">
        <f t="shared" si="249"/>
        <v>2.331427297</v>
      </c>
      <c r="BF130" s="20">
        <f t="shared" si="250"/>
        <v>0.001275510204</v>
      </c>
      <c r="BG130" s="264">
        <f t="shared" si="251"/>
        <v>30.54231024</v>
      </c>
      <c r="BH130" s="152">
        <v>249.8545887961859</v>
      </c>
      <c r="BI130" s="153">
        <v>26.8843861740167</v>
      </c>
      <c r="BJ130" s="20">
        <f t="shared" si="252"/>
        <v>2.39768733</v>
      </c>
      <c r="BK130" s="20">
        <f t="shared" si="253"/>
        <v>0.001383565582</v>
      </c>
      <c r="BL130" s="264">
        <f t="shared" si="254"/>
        <v>26.70407697</v>
      </c>
    </row>
    <row r="131" ht="15.75" customHeight="1">
      <c r="A131" s="5"/>
      <c r="B131" s="141"/>
      <c r="C131" s="141"/>
      <c r="D131" s="155"/>
      <c r="E131" s="155"/>
      <c r="G131" s="141"/>
      <c r="H131" s="141"/>
      <c r="I131" s="155"/>
      <c r="J131" s="155"/>
      <c r="L131" s="141"/>
      <c r="M131" s="141"/>
      <c r="N131" s="155"/>
      <c r="O131" s="155"/>
      <c r="Y131" s="5"/>
      <c r="Z131" s="141"/>
      <c r="AA131" s="141"/>
      <c r="AB131" s="155"/>
      <c r="AC131" s="155"/>
      <c r="AE131" s="141"/>
      <c r="AF131" s="141"/>
      <c r="AG131" s="155"/>
      <c r="AH131" s="155"/>
      <c r="AJ131" s="141"/>
      <c r="AL131" s="155"/>
      <c r="AM131" s="155"/>
      <c r="AW131" s="5"/>
      <c r="AX131" s="141"/>
      <c r="AY131" s="141"/>
      <c r="AZ131" s="155"/>
      <c r="BA131" s="155"/>
      <c r="BC131" s="141"/>
      <c r="BD131" s="141"/>
      <c r="BE131" s="155"/>
      <c r="BF131" s="155"/>
      <c r="BH131" s="141"/>
      <c r="BI131" s="141"/>
      <c r="BJ131" s="155"/>
      <c r="BK131" s="155"/>
    </row>
    <row r="132" ht="15.75" customHeight="1">
      <c r="A132" s="5"/>
      <c r="B132" s="141"/>
      <c r="C132" s="141"/>
      <c r="D132" s="155"/>
      <c r="E132" s="155"/>
      <c r="G132" s="141"/>
      <c r="H132" s="141"/>
      <c r="I132" s="155"/>
      <c r="J132" s="155"/>
      <c r="L132" s="141"/>
      <c r="M132" s="141"/>
      <c r="N132" s="155"/>
      <c r="O132" s="155"/>
      <c r="Y132" s="5"/>
      <c r="Z132" s="141"/>
      <c r="AA132" s="141"/>
      <c r="AB132" s="155"/>
      <c r="AC132" s="155"/>
      <c r="AE132" s="141"/>
      <c r="AF132" s="141"/>
      <c r="AG132" s="155"/>
      <c r="AH132" s="155"/>
      <c r="AJ132" s="141"/>
      <c r="AL132" s="155"/>
      <c r="AM132" s="155"/>
      <c r="AW132" s="5"/>
      <c r="AX132" s="141"/>
      <c r="AY132" s="141"/>
      <c r="AZ132" s="155"/>
      <c r="BA132" s="155"/>
      <c r="BC132" s="141"/>
      <c r="BD132" s="141"/>
      <c r="BE132" s="155"/>
      <c r="BF132" s="155"/>
      <c r="BH132" s="141"/>
      <c r="BI132" s="141"/>
      <c r="BJ132" s="155"/>
      <c r="BK132" s="155"/>
    </row>
    <row r="133" ht="15.75" customHeight="1">
      <c r="B133" s="141"/>
      <c r="C133" s="141"/>
    </row>
    <row r="134" ht="15.75" customHeight="1">
      <c r="B134" s="141"/>
      <c r="C134" s="141"/>
    </row>
    <row r="135" ht="15.75" hidden="1" customHeight="1">
      <c r="B135" s="141" t="str">
        <f t="shared" ref="B135:B145" si="255">LN(B131)</f>
        <v>#NUM!</v>
      </c>
    </row>
    <row r="136" ht="15.75" hidden="1" customHeight="1">
      <c r="A136" s="147"/>
      <c r="B136" s="141" t="str">
        <f t="shared" si="255"/>
        <v>#NUM!</v>
      </c>
      <c r="C136" s="187" t="s">
        <v>617</v>
      </c>
      <c r="D136" s="188"/>
      <c r="E136" s="188"/>
      <c r="F136" s="188"/>
      <c r="G136" s="188"/>
      <c r="H136" s="188"/>
      <c r="I136" s="188"/>
      <c r="J136" s="188"/>
      <c r="K136" s="189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87" t="s">
        <v>618</v>
      </c>
      <c r="AB136" s="188"/>
      <c r="AC136" s="188"/>
      <c r="AD136" s="188"/>
      <c r="AE136" s="188"/>
      <c r="AF136" s="188"/>
      <c r="AG136" s="188"/>
      <c r="AH136" s="188"/>
      <c r="AI136" s="189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87" t="s">
        <v>619</v>
      </c>
      <c r="AZ136" s="188"/>
      <c r="BA136" s="188"/>
      <c r="BB136" s="188"/>
      <c r="BC136" s="188"/>
      <c r="BD136" s="188"/>
      <c r="BE136" s="188"/>
      <c r="BF136" s="188"/>
      <c r="BG136" s="189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</row>
    <row r="137" ht="15.75" hidden="1" customHeight="1">
      <c r="A137" s="147"/>
      <c r="B137" s="141" t="str">
        <f t="shared" si="255"/>
        <v>#NUM!</v>
      </c>
      <c r="C137" s="315" t="s">
        <v>229</v>
      </c>
      <c r="D137" s="314"/>
      <c r="E137" s="234"/>
      <c r="F137" s="315" t="s">
        <v>230</v>
      </c>
      <c r="G137" s="314"/>
      <c r="H137" s="234"/>
      <c r="I137" s="315" t="s">
        <v>231</v>
      </c>
      <c r="J137" s="314"/>
      <c r="K137" s="234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315" t="s">
        <v>229</v>
      </c>
      <c r="AB137" s="314"/>
      <c r="AC137" s="378"/>
      <c r="AD137" s="315" t="s">
        <v>230</v>
      </c>
      <c r="AE137" s="314"/>
      <c r="AF137" s="234"/>
      <c r="AG137" s="315" t="s">
        <v>231</v>
      </c>
      <c r="AH137" s="314"/>
      <c r="AI137" s="234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315" t="s">
        <v>229</v>
      </c>
      <c r="AZ137" s="314"/>
      <c r="BA137" s="234"/>
      <c r="BB137" s="315" t="s">
        <v>230</v>
      </c>
      <c r="BC137" s="314"/>
      <c r="BD137" s="234"/>
      <c r="BE137" s="315" t="s">
        <v>231</v>
      </c>
      <c r="BF137" s="314"/>
      <c r="BG137" s="234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</row>
    <row r="138" ht="15.75" hidden="1" customHeight="1">
      <c r="B138" s="141" t="str">
        <f t="shared" si="255"/>
        <v>#NUM!</v>
      </c>
      <c r="C138" s="317" t="s">
        <v>233</v>
      </c>
      <c r="D138" s="50" t="s">
        <v>643</v>
      </c>
      <c r="E138" s="318" t="s">
        <v>645</v>
      </c>
      <c r="F138" s="317" t="s">
        <v>233</v>
      </c>
      <c r="G138" s="50" t="s">
        <v>643</v>
      </c>
      <c r="H138" s="318" t="s">
        <v>645</v>
      </c>
      <c r="I138" s="317" t="s">
        <v>233</v>
      </c>
      <c r="J138" s="50" t="s">
        <v>643</v>
      </c>
      <c r="K138" s="318" t="s">
        <v>645</v>
      </c>
      <c r="Z138" s="379" t="s">
        <v>168</v>
      </c>
      <c r="AA138" s="317" t="s">
        <v>233</v>
      </c>
      <c r="AB138" s="50" t="s">
        <v>643</v>
      </c>
      <c r="AC138" s="49" t="s">
        <v>645</v>
      </c>
      <c r="AD138" s="317" t="s">
        <v>233</v>
      </c>
      <c r="AE138" s="50" t="s">
        <v>643</v>
      </c>
      <c r="AF138" s="318" t="s">
        <v>645</v>
      </c>
      <c r="AG138" s="317" t="s">
        <v>233</v>
      </c>
      <c r="AH138" s="50" t="s">
        <v>643</v>
      </c>
      <c r="AI138" s="380" t="s">
        <v>645</v>
      </c>
      <c r="AX138" s="258" t="s">
        <v>168</v>
      </c>
      <c r="AY138" s="317" t="s">
        <v>233</v>
      </c>
      <c r="AZ138" s="50" t="s">
        <v>643</v>
      </c>
      <c r="BA138" s="318" t="s">
        <v>645</v>
      </c>
      <c r="BB138" s="317" t="s">
        <v>233</v>
      </c>
      <c r="BC138" s="50" t="s">
        <v>643</v>
      </c>
      <c r="BD138" s="318" t="s">
        <v>645</v>
      </c>
      <c r="BE138" s="317" t="s">
        <v>233</v>
      </c>
      <c r="BF138" s="50" t="s">
        <v>643</v>
      </c>
      <c r="BG138" s="318" t="s">
        <v>645</v>
      </c>
    </row>
    <row r="139" ht="15.75" hidden="1" customHeight="1">
      <c r="B139" s="141" t="str">
        <f t="shared" si="255"/>
        <v>#NUM!</v>
      </c>
      <c r="C139" s="320">
        <v>8.448130922589387</v>
      </c>
      <c r="D139" s="20" t="str">
        <f t="shared" ref="D139:D143" si="256">LOG($B139)</f>
        <v>#NUM!</v>
      </c>
      <c r="E139" s="347" t="str">
        <f t="shared" ref="E139:E140" si="257">LOG(C139/1-C139)</f>
        <v>#NUM!</v>
      </c>
      <c r="F139" s="320">
        <v>5.050890008015365</v>
      </c>
      <c r="G139" s="20" t="str">
        <f t="shared" ref="G139:G143" si="258">LOG($B139)</f>
        <v>#NUM!</v>
      </c>
      <c r="H139" s="347" t="str">
        <f t="shared" ref="H139:H143" si="259">LOG(F139/(1-F139))</f>
        <v>#NUM!</v>
      </c>
      <c r="I139" s="320">
        <v>6.994899069379541</v>
      </c>
      <c r="J139" s="20" t="str">
        <f t="shared" ref="J139:J143" si="260">LOG($B139)</f>
        <v>#NUM!</v>
      </c>
      <c r="K139" s="347" t="str">
        <f t="shared" ref="K139:K143" si="261">LOG(I139/(1-I139))</f>
        <v>#NUM!</v>
      </c>
      <c r="Z139" s="382">
        <v>54.32258064516128</v>
      </c>
      <c r="AA139" s="320">
        <v>6.601273545336687</v>
      </c>
      <c r="AB139" s="20">
        <f t="shared" ref="AB139:AB143" si="262">LOG($Z139)</f>
        <v>1.734980393</v>
      </c>
      <c r="AC139" s="383" t="str">
        <f t="shared" ref="AC139:AC143" si="263">LOG(AA139/(1-AA139))</f>
        <v>#NUM!</v>
      </c>
      <c r="AD139" s="20">
        <v>6.197318057836213</v>
      </c>
      <c r="AE139" s="20">
        <f t="shared" ref="AE139:AE143" si="264">LOG($Z139)</f>
        <v>1.734980393</v>
      </c>
      <c r="AF139" s="347" t="str">
        <f t="shared" ref="AF139:AF143" si="265">LOG(AD139/(1-AD139))</f>
        <v>#NUM!</v>
      </c>
      <c r="AG139" s="20">
        <v>5.075859199580501</v>
      </c>
      <c r="AH139" s="20">
        <f t="shared" ref="AH139:AH143" si="266">LOG($Z139)</f>
        <v>1.734980393</v>
      </c>
      <c r="AI139" s="347" t="str">
        <f t="shared" ref="AI139:AI143" si="267">LOG(AG139/(1-AG139))</f>
        <v>#NUM!</v>
      </c>
      <c r="AX139" s="382">
        <v>57.189964157706086</v>
      </c>
      <c r="AY139" s="320">
        <v>7.230123505633468</v>
      </c>
      <c r="AZ139" s="20">
        <f t="shared" ref="AZ139:AZ143" si="268">LOG($AX139)</f>
        <v>1.757319824</v>
      </c>
      <c r="BA139" s="347" t="str">
        <f t="shared" ref="BA139:BA143" si="269">LOG(AY139/(1-AY139))</f>
        <v>#NUM!</v>
      </c>
      <c r="BB139" s="320">
        <v>6.326509740684451</v>
      </c>
      <c r="BC139" s="20">
        <f t="shared" ref="BC139:BC143" si="270">LOG($AX139)</f>
        <v>1.757319824</v>
      </c>
      <c r="BD139" s="347" t="str">
        <f t="shared" ref="BD139:BD143" si="271">LOG(BB139/(1-BB139))</f>
        <v>#NUM!</v>
      </c>
      <c r="BE139" s="320">
        <v>6.836149120802889</v>
      </c>
      <c r="BF139" s="20">
        <f t="shared" ref="BF139:BF143" si="272">LOG($AX139)</f>
        <v>1.757319824</v>
      </c>
      <c r="BG139" s="347" t="str">
        <f t="shared" ref="BG139:BG143" si="273">LOG(BE139/(1-BE139))</f>
        <v>#NUM!</v>
      </c>
    </row>
    <row r="140" ht="15.75" hidden="1" customHeight="1">
      <c r="B140" s="141" t="str">
        <f t="shared" si="255"/>
        <v>#NUM!</v>
      </c>
      <c r="C140" s="320">
        <v>13.04230785167831</v>
      </c>
      <c r="D140" s="20" t="str">
        <f t="shared" si="256"/>
        <v>#NUM!</v>
      </c>
      <c r="E140" s="347" t="str">
        <f t="shared" si="257"/>
        <v>#NUM!</v>
      </c>
      <c r="F140" s="320">
        <v>5.612546856856714</v>
      </c>
      <c r="G140" s="20" t="str">
        <f t="shared" si="258"/>
        <v>#NUM!</v>
      </c>
      <c r="H140" s="347" t="str">
        <f t="shared" si="259"/>
        <v>#NUM!</v>
      </c>
      <c r="I140" s="320">
        <v>8.833198692120565</v>
      </c>
      <c r="J140" s="20" t="str">
        <f t="shared" si="260"/>
        <v>#NUM!</v>
      </c>
      <c r="K140" s="347" t="str">
        <f t="shared" si="261"/>
        <v>#NUM!</v>
      </c>
      <c r="Z140" s="382">
        <v>86.2222222222222</v>
      </c>
      <c r="AA140" s="320">
        <v>10.772858799528137</v>
      </c>
      <c r="AB140" s="20">
        <f t="shared" si="262"/>
        <v>1.935619212</v>
      </c>
      <c r="AC140" s="383" t="str">
        <f t="shared" si="263"/>
        <v>#NUM!</v>
      </c>
      <c r="AD140" s="20">
        <v>9.218974999260887</v>
      </c>
      <c r="AE140" s="20">
        <f t="shared" si="264"/>
        <v>1.935619212</v>
      </c>
      <c r="AF140" s="347" t="str">
        <f t="shared" si="265"/>
        <v>#NUM!</v>
      </c>
      <c r="AG140" s="20">
        <v>7.046960748799184</v>
      </c>
      <c r="AH140" s="20">
        <f t="shared" si="266"/>
        <v>1.935619212</v>
      </c>
      <c r="AI140" s="347" t="str">
        <f t="shared" si="267"/>
        <v>#NUM!</v>
      </c>
      <c r="AX140" s="382">
        <v>85.86379928315411</v>
      </c>
      <c r="AY140" s="320">
        <v>11.019271082905224</v>
      </c>
      <c r="AZ140" s="20">
        <f t="shared" si="268"/>
        <v>1.933810101</v>
      </c>
      <c r="BA140" s="347" t="str">
        <f t="shared" si="269"/>
        <v>#NUM!</v>
      </c>
      <c r="BB140" s="320">
        <v>8.482348979232412</v>
      </c>
      <c r="BC140" s="20">
        <f t="shared" si="270"/>
        <v>1.933810101</v>
      </c>
      <c r="BD140" s="347" t="str">
        <f t="shared" si="271"/>
        <v>#NUM!</v>
      </c>
      <c r="BE140" s="320">
        <v>11.249502421847936</v>
      </c>
      <c r="BF140" s="20">
        <f t="shared" si="272"/>
        <v>1.933810101</v>
      </c>
      <c r="BG140" s="347" t="str">
        <f t="shared" si="273"/>
        <v>#NUM!</v>
      </c>
    </row>
    <row r="141" ht="15.75" hidden="1" customHeight="1">
      <c r="B141" s="141" t="str">
        <f t="shared" si="255"/>
        <v>#NUM!</v>
      </c>
      <c r="C141" s="320">
        <v>14.567819227317436</v>
      </c>
      <c r="D141" s="20" t="str">
        <f t="shared" si="256"/>
        <v>#NUM!</v>
      </c>
      <c r="E141" s="347" t="str">
        <f t="shared" ref="E141:E143" si="274">LOG(C141/(1-C141))</f>
        <v>#NUM!</v>
      </c>
      <c r="F141" s="320">
        <v>7.0</v>
      </c>
      <c r="G141" s="20" t="str">
        <f t="shared" si="258"/>
        <v>#NUM!</v>
      </c>
      <c r="H141" s="347" t="str">
        <f t="shared" si="259"/>
        <v>#NUM!</v>
      </c>
      <c r="I141" s="320">
        <v>10.49759050607947</v>
      </c>
      <c r="J141" s="20" t="str">
        <f t="shared" si="260"/>
        <v>#NUM!</v>
      </c>
      <c r="K141" s="347" t="str">
        <f t="shared" si="261"/>
        <v>#NUM!</v>
      </c>
      <c r="Z141" s="382">
        <v>111.31182795698923</v>
      </c>
      <c r="AA141" s="320">
        <v>13.901898408523735</v>
      </c>
      <c r="AB141" s="20">
        <f t="shared" si="262"/>
        <v>2.046541315</v>
      </c>
      <c r="AC141" s="383" t="str">
        <f t="shared" si="263"/>
        <v>#NUM!</v>
      </c>
      <c r="AD141" s="20">
        <v>11.206051440959174</v>
      </c>
      <c r="AE141" s="20">
        <f t="shared" si="264"/>
        <v>2.046541315</v>
      </c>
      <c r="AF141" s="347" t="str">
        <f t="shared" si="265"/>
        <v>#NUM!</v>
      </c>
      <c r="AG141" s="20">
        <v>7.793846654304835</v>
      </c>
      <c r="AH141" s="20">
        <f t="shared" si="266"/>
        <v>2.046541315</v>
      </c>
      <c r="AI141" s="347" t="str">
        <f t="shared" si="267"/>
        <v>#NUM!</v>
      </c>
      <c r="AX141" s="382">
        <v>110.23655913978493</v>
      </c>
      <c r="AY141" s="320">
        <v>14.143820326926342</v>
      </c>
      <c r="AZ141" s="20">
        <f t="shared" si="268"/>
        <v>2.042325649</v>
      </c>
      <c r="BA141" s="347" t="str">
        <f t="shared" si="269"/>
        <v>#NUM!</v>
      </c>
      <c r="BB141" s="320">
        <v>10.459936833883226</v>
      </c>
      <c r="BC141" s="20">
        <f t="shared" si="270"/>
        <v>2.042325649</v>
      </c>
      <c r="BD141" s="347" t="str">
        <f t="shared" si="271"/>
        <v>#NUM!</v>
      </c>
      <c r="BE141" s="320">
        <v>12.43190091644241</v>
      </c>
      <c r="BF141" s="20">
        <f t="shared" si="272"/>
        <v>2.042325649</v>
      </c>
      <c r="BG141" s="347" t="str">
        <f t="shared" si="273"/>
        <v>#NUM!</v>
      </c>
    </row>
    <row r="142" ht="15.75" hidden="1" customHeight="1">
      <c r="B142" s="141" t="str">
        <f t="shared" si="255"/>
        <v>#NUM!</v>
      </c>
      <c r="C142" s="320">
        <v>19.079139057562784</v>
      </c>
      <c r="D142" s="20" t="str">
        <f t="shared" si="256"/>
        <v>#NUM!</v>
      </c>
      <c r="E142" s="347" t="str">
        <f t="shared" si="274"/>
        <v>#NUM!</v>
      </c>
      <c r="F142" s="320">
        <v>7.168784841064191</v>
      </c>
      <c r="G142" s="20" t="str">
        <f t="shared" si="258"/>
        <v>#NUM!</v>
      </c>
      <c r="H142" s="347" t="str">
        <f t="shared" si="259"/>
        <v>#NUM!</v>
      </c>
      <c r="I142" s="320">
        <v>10.738208905573646</v>
      </c>
      <c r="J142" s="20" t="str">
        <f t="shared" si="260"/>
        <v>#NUM!</v>
      </c>
      <c r="K142" s="347" t="str">
        <f t="shared" si="261"/>
        <v>#NUM!</v>
      </c>
      <c r="Z142" s="382">
        <v>143.56989247311827</v>
      </c>
      <c r="AA142" s="320">
        <v>18.301508975302504</v>
      </c>
      <c r="AB142" s="20">
        <f t="shared" si="262"/>
        <v>2.157063375</v>
      </c>
      <c r="AC142" s="383" t="str">
        <f t="shared" si="263"/>
        <v>#NUM!</v>
      </c>
      <c r="AD142" s="20">
        <v>12.400822397213869</v>
      </c>
      <c r="AE142" s="20">
        <f t="shared" si="264"/>
        <v>2.157063375</v>
      </c>
      <c r="AF142" s="347" t="str">
        <f t="shared" si="265"/>
        <v>#NUM!</v>
      </c>
      <c r="AG142" s="20">
        <v>8.901544665920543</v>
      </c>
      <c r="AH142" s="20">
        <f t="shared" si="266"/>
        <v>2.157063375</v>
      </c>
      <c r="AI142" s="347" t="str">
        <f t="shared" si="267"/>
        <v>#NUM!</v>
      </c>
      <c r="AX142" s="382">
        <v>154.6810035842294</v>
      </c>
      <c r="AY142" s="320">
        <v>19.50992466132772</v>
      </c>
      <c r="AZ142" s="20">
        <f t="shared" si="268"/>
        <v>2.189436981</v>
      </c>
      <c r="BA142" s="347" t="str">
        <f t="shared" si="269"/>
        <v>#NUM!</v>
      </c>
      <c r="BB142" s="320">
        <v>10.991758928743177</v>
      </c>
      <c r="BC142" s="20">
        <f t="shared" si="270"/>
        <v>2.189436981</v>
      </c>
      <c r="BD142" s="347" t="str">
        <f t="shared" si="271"/>
        <v>#NUM!</v>
      </c>
      <c r="BE142" s="320">
        <v>13.516967690823842</v>
      </c>
      <c r="BF142" s="20">
        <f t="shared" si="272"/>
        <v>2.189436981</v>
      </c>
      <c r="BG142" s="347" t="str">
        <f t="shared" si="273"/>
        <v>#NUM!</v>
      </c>
    </row>
    <row r="143" ht="15.75" hidden="1" customHeight="1">
      <c r="B143" s="141" t="str">
        <f t="shared" si="255"/>
        <v>#NUM!</v>
      </c>
      <c r="C143" s="322">
        <v>19.867549668874176</v>
      </c>
      <c r="D143" s="323" t="str">
        <f t="shared" si="256"/>
        <v>#NUM!</v>
      </c>
      <c r="E143" s="348" t="str">
        <f t="shared" si="274"/>
        <v>#NUM!</v>
      </c>
      <c r="F143" s="322">
        <v>7.8591861771302955</v>
      </c>
      <c r="G143" s="323" t="str">
        <f t="shared" si="258"/>
        <v>#NUM!</v>
      </c>
      <c r="H143" s="348" t="str">
        <f t="shared" si="259"/>
        <v>#NUM!</v>
      </c>
      <c r="I143" s="322">
        <v>10.124392993091213</v>
      </c>
      <c r="J143" s="323" t="str">
        <f t="shared" si="260"/>
        <v>#NUM!</v>
      </c>
      <c r="K143" s="348" t="str">
        <f t="shared" si="261"/>
        <v>#NUM!</v>
      </c>
      <c r="Z143" s="385">
        <v>211.31182795698925</v>
      </c>
      <c r="AA143" s="322">
        <v>24.516421256319177</v>
      </c>
      <c r="AB143" s="323">
        <f t="shared" si="262"/>
        <v>2.324923807</v>
      </c>
      <c r="AC143" s="386" t="str">
        <f t="shared" si="263"/>
        <v>#NUM!</v>
      </c>
      <c r="AD143" s="323">
        <v>14.34657601273193</v>
      </c>
      <c r="AE143" s="323">
        <f t="shared" si="264"/>
        <v>2.324923807</v>
      </c>
      <c r="AF143" s="348" t="str">
        <f t="shared" si="265"/>
        <v>#NUM!</v>
      </c>
      <c r="AG143" s="323">
        <v>10.193206958112519</v>
      </c>
      <c r="AH143" s="323">
        <f t="shared" si="266"/>
        <v>2.324923807</v>
      </c>
      <c r="AI143" s="348" t="str">
        <f t="shared" si="267"/>
        <v>#NUM!</v>
      </c>
      <c r="AX143" s="385">
        <v>289.44802867383515</v>
      </c>
      <c r="AY143" s="322">
        <v>26.893177852477017</v>
      </c>
      <c r="AZ143" s="323">
        <f t="shared" si="268"/>
        <v>2.461570596</v>
      </c>
      <c r="BA143" s="348" t="str">
        <f t="shared" si="269"/>
        <v>#NUM!</v>
      </c>
      <c r="BB143" s="322">
        <v>9.507213684410061</v>
      </c>
      <c r="BC143" s="323">
        <f t="shared" si="270"/>
        <v>2.461570596</v>
      </c>
      <c r="BD143" s="348" t="str">
        <f t="shared" si="271"/>
        <v>#NUM!</v>
      </c>
      <c r="BE143" s="322">
        <v>16.2467013926002</v>
      </c>
      <c r="BF143" s="323">
        <f t="shared" si="272"/>
        <v>2.461570596</v>
      </c>
      <c r="BG143" s="348" t="str">
        <f t="shared" si="273"/>
        <v>#NUM!</v>
      </c>
    </row>
    <row r="144" ht="15.75" hidden="1" customHeight="1">
      <c r="B144" s="141" t="str">
        <f t="shared" si="255"/>
        <v>#NUM!</v>
      </c>
    </row>
    <row r="145" ht="15.75" hidden="1" customHeight="1">
      <c r="B145" s="141" t="str">
        <f t="shared" si="255"/>
        <v>#NUM!</v>
      </c>
    </row>
    <row r="146" ht="15.75" customHeight="1">
      <c r="B146" s="5"/>
    </row>
    <row r="147" ht="15.75" customHeight="1">
      <c r="B147" s="5"/>
    </row>
    <row r="148" ht="15.75" customHeight="1"/>
    <row r="149" ht="15.75" customHeight="1"/>
    <row r="150" ht="15.75" customHeight="1">
      <c r="B150" s="166" t="s">
        <v>659</v>
      </c>
      <c r="C150" s="167"/>
      <c r="D150" s="167" t="s">
        <v>660</v>
      </c>
      <c r="E150" s="168" t="s">
        <v>661</v>
      </c>
      <c r="G150" s="166" t="s">
        <v>662</v>
      </c>
      <c r="H150" s="167"/>
      <c r="I150" s="167" t="s">
        <v>660</v>
      </c>
      <c r="J150" s="168" t="s">
        <v>663</v>
      </c>
      <c r="L150" s="166" t="s">
        <v>664</v>
      </c>
      <c r="M150" s="167"/>
      <c r="N150" s="167" t="s">
        <v>660</v>
      </c>
      <c r="O150" s="168" t="s">
        <v>665</v>
      </c>
      <c r="Z150" s="166" t="s">
        <v>666</v>
      </c>
      <c r="AA150" s="167"/>
      <c r="AB150" s="167" t="s">
        <v>660</v>
      </c>
      <c r="AC150" s="168" t="s">
        <v>667</v>
      </c>
      <c r="AD150" s="166" t="s">
        <v>668</v>
      </c>
      <c r="AE150" s="167"/>
      <c r="AF150" s="167" t="s">
        <v>660</v>
      </c>
      <c r="AG150" s="168" t="s">
        <v>669</v>
      </c>
      <c r="AH150" s="166" t="s">
        <v>670</v>
      </c>
      <c r="AI150" s="167"/>
      <c r="AJ150" s="167" t="s">
        <v>660</v>
      </c>
      <c r="AK150" s="168" t="s">
        <v>671</v>
      </c>
      <c r="AX150" s="166" t="s">
        <v>672</v>
      </c>
      <c r="AY150" s="167"/>
      <c r="AZ150" s="167" t="s">
        <v>660</v>
      </c>
      <c r="BA150" s="168" t="s">
        <v>673</v>
      </c>
      <c r="BB150" s="166" t="s">
        <v>674</v>
      </c>
      <c r="BC150" s="167"/>
      <c r="BD150" s="167" t="s">
        <v>660</v>
      </c>
      <c r="BE150" s="168" t="s">
        <v>675</v>
      </c>
      <c r="BF150" s="166" t="s">
        <v>676</v>
      </c>
      <c r="BG150" s="167"/>
      <c r="BH150" s="167" t="s">
        <v>660</v>
      </c>
      <c r="BI150" s="168" t="s">
        <v>677</v>
      </c>
    </row>
    <row r="151" ht="15.75" customHeight="1">
      <c r="B151" s="387">
        <f>EXP(-(-2.5669))</f>
        <v>13.0253831</v>
      </c>
      <c r="C151" s="388"/>
      <c r="D151" s="224">
        <v>0.0509</v>
      </c>
      <c r="E151" s="225">
        <v>0.9013</v>
      </c>
      <c r="G151" s="227">
        <f>EXP(-(-1.0129))</f>
        <v>2.753574814</v>
      </c>
      <c r="H151" s="389"/>
      <c r="I151" s="228">
        <v>0.0168</v>
      </c>
      <c r="J151" s="390">
        <v>0.7813</v>
      </c>
      <c r="L151" s="230">
        <f>EXP(0.1041)</f>
        <v>1.109711421</v>
      </c>
      <c r="M151" s="391"/>
      <c r="N151" s="232">
        <v>0.0099</v>
      </c>
      <c r="O151" s="235">
        <v>0.9117</v>
      </c>
      <c r="Z151" s="349">
        <f>EXP(-(-1.8396))</f>
        <v>6.294020149</v>
      </c>
      <c r="AA151" s="111"/>
      <c r="AB151" s="111">
        <v>0.6195</v>
      </c>
      <c r="AC151" s="127">
        <v>0.8835</v>
      </c>
      <c r="AD151" s="349">
        <f>EXP(-(-0.9106))</f>
        <v>2.485813574</v>
      </c>
      <c r="AE151" s="111"/>
      <c r="AF151" s="111">
        <v>0.5836</v>
      </c>
      <c r="AG151" s="127">
        <v>0.985</v>
      </c>
      <c r="AH151" s="349">
        <f>EXP(-(-0.1321))</f>
        <v>1.141222436</v>
      </c>
      <c r="AI151" s="111"/>
      <c r="AJ151" s="111">
        <v>0.4737</v>
      </c>
      <c r="AK151" s="127">
        <v>0.8848</v>
      </c>
      <c r="AX151" s="349">
        <f>EXP(-(-2.0229))</f>
        <v>7.560217805</v>
      </c>
      <c r="AY151" s="111"/>
      <c r="AZ151" s="111">
        <v>0.6109</v>
      </c>
      <c r="BA151" s="127">
        <v>0.8633</v>
      </c>
      <c r="BB151" s="349">
        <f>EXP(-(-1.4974))</f>
        <v>4.470051814</v>
      </c>
      <c r="BC151" s="111"/>
      <c r="BD151" s="111">
        <v>0.6691</v>
      </c>
      <c r="BE151" s="127">
        <v>0.9847</v>
      </c>
      <c r="BF151" s="349">
        <f>EXP(-(-1.4251))</f>
        <v>4.158273649</v>
      </c>
      <c r="BG151" s="111"/>
      <c r="BH151" s="111">
        <v>0.6895</v>
      </c>
      <c r="BI151" s="127">
        <v>0.98</v>
      </c>
    </row>
    <row r="152" ht="15.75" customHeight="1">
      <c r="A152" s="147"/>
      <c r="B152" s="392" t="s">
        <v>678</v>
      </c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93"/>
      <c r="Q152" s="147"/>
      <c r="R152" s="147"/>
      <c r="S152" s="147"/>
      <c r="T152" s="147"/>
      <c r="U152" s="147"/>
      <c r="V152" s="147"/>
      <c r="W152" s="147"/>
      <c r="X152" s="147"/>
      <c r="Y152" s="147"/>
      <c r="Z152" s="394" t="s">
        <v>679</v>
      </c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9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394" t="s">
        <v>680</v>
      </c>
      <c r="AY152" s="188"/>
      <c r="AZ152" s="188"/>
      <c r="BA152" s="188"/>
      <c r="BB152" s="188"/>
      <c r="BC152" s="188"/>
      <c r="BD152" s="188"/>
      <c r="BE152" s="188"/>
      <c r="BF152" s="188"/>
      <c r="BG152" s="188"/>
      <c r="BH152" s="188"/>
      <c r="BI152" s="189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</row>
    <row r="153" ht="15.75" customHeight="1">
      <c r="A153" s="147"/>
      <c r="B153" s="191" t="s">
        <v>229</v>
      </c>
      <c r="C153" s="91"/>
      <c r="D153" s="91"/>
      <c r="E153" s="91"/>
      <c r="F153" s="186"/>
      <c r="G153" s="191" t="s">
        <v>230</v>
      </c>
      <c r="H153" s="91"/>
      <c r="I153" s="91"/>
      <c r="J153" s="91"/>
      <c r="K153" s="186"/>
      <c r="L153" s="191" t="s">
        <v>231</v>
      </c>
      <c r="M153" s="91"/>
      <c r="N153" s="91"/>
      <c r="O153" s="91"/>
      <c r="P153" s="92"/>
      <c r="Q153" s="147"/>
      <c r="R153" s="147"/>
      <c r="S153" s="147"/>
      <c r="T153" s="147"/>
      <c r="U153" s="147"/>
      <c r="V153" s="147"/>
      <c r="W153" s="147"/>
      <c r="X153" s="147"/>
      <c r="Y153" s="147"/>
      <c r="Z153" s="315" t="s">
        <v>229</v>
      </c>
      <c r="AA153" s="314"/>
      <c r="AB153" s="314"/>
      <c r="AC153" s="378"/>
      <c r="AD153" s="315" t="s">
        <v>230</v>
      </c>
      <c r="AE153" s="314"/>
      <c r="AF153" s="314"/>
      <c r="AG153" s="378"/>
      <c r="AH153" s="315" t="s">
        <v>231</v>
      </c>
      <c r="AI153" s="314"/>
      <c r="AJ153" s="314"/>
      <c r="AK153" s="234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315" t="s">
        <v>229</v>
      </c>
      <c r="AY153" s="314"/>
      <c r="AZ153" s="314"/>
      <c r="BA153" s="378"/>
      <c r="BB153" s="315" t="s">
        <v>230</v>
      </c>
      <c r="BC153" s="314"/>
      <c r="BD153" s="314"/>
      <c r="BE153" s="378"/>
      <c r="BF153" s="315" t="s">
        <v>231</v>
      </c>
      <c r="BG153" s="314"/>
      <c r="BH153" s="314"/>
      <c r="BI153" s="234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</row>
    <row r="154" ht="15.75" customHeight="1">
      <c r="A154" s="258" t="s">
        <v>168</v>
      </c>
      <c r="B154" s="395" t="s">
        <v>232</v>
      </c>
      <c r="C154" s="396" t="s">
        <v>233</v>
      </c>
      <c r="D154" s="396" t="s">
        <v>681</v>
      </c>
      <c r="E154" s="396" t="s">
        <v>682</v>
      </c>
      <c r="F154" s="397" t="s">
        <v>171</v>
      </c>
      <c r="G154" s="395" t="s">
        <v>232</v>
      </c>
      <c r="H154" s="396" t="s">
        <v>233</v>
      </c>
      <c r="I154" s="396" t="s">
        <v>681</v>
      </c>
      <c r="J154" s="396" t="s">
        <v>682</v>
      </c>
      <c r="K154" s="397" t="s">
        <v>171</v>
      </c>
      <c r="L154" s="395" t="s">
        <v>232</v>
      </c>
      <c r="M154" s="396" t="s">
        <v>233</v>
      </c>
      <c r="N154" s="396" t="s">
        <v>681</v>
      </c>
      <c r="O154" s="396" t="s">
        <v>682</v>
      </c>
      <c r="P154" s="397" t="s">
        <v>171</v>
      </c>
      <c r="Y154" s="259" t="s">
        <v>168</v>
      </c>
      <c r="Z154" s="317" t="s">
        <v>232</v>
      </c>
      <c r="AA154" s="50" t="s">
        <v>233</v>
      </c>
      <c r="AB154" s="50" t="s">
        <v>681</v>
      </c>
      <c r="AC154" s="49" t="s">
        <v>682</v>
      </c>
      <c r="AD154" s="317" t="s">
        <v>232</v>
      </c>
      <c r="AE154" s="50" t="s">
        <v>233</v>
      </c>
      <c r="AF154" s="50" t="s">
        <v>681</v>
      </c>
      <c r="AG154" s="49" t="s">
        <v>682</v>
      </c>
      <c r="AH154" s="317" t="s">
        <v>232</v>
      </c>
      <c r="AI154" s="50" t="s">
        <v>233</v>
      </c>
      <c r="AJ154" s="50" t="s">
        <v>681</v>
      </c>
      <c r="AK154" s="318" t="s">
        <v>682</v>
      </c>
      <c r="AW154" s="258" t="s">
        <v>168</v>
      </c>
      <c r="AX154" s="317" t="s">
        <v>232</v>
      </c>
      <c r="AY154" s="50" t="s">
        <v>233</v>
      </c>
      <c r="AZ154" s="50" t="s">
        <v>681</v>
      </c>
      <c r="BA154" s="49" t="s">
        <v>682</v>
      </c>
      <c r="BB154" s="317" t="s">
        <v>232</v>
      </c>
      <c r="BC154" s="50" t="s">
        <v>233</v>
      </c>
      <c r="BD154" s="50" t="s">
        <v>681</v>
      </c>
      <c r="BE154" s="49" t="s">
        <v>682</v>
      </c>
      <c r="BF154" s="317" t="s">
        <v>232</v>
      </c>
      <c r="BG154" s="50" t="s">
        <v>233</v>
      </c>
      <c r="BH154" s="50" t="s">
        <v>681</v>
      </c>
      <c r="BI154" s="318" t="s">
        <v>682</v>
      </c>
    </row>
    <row r="155" ht="15.75" customHeight="1">
      <c r="A155" s="196">
        <v>100.0</v>
      </c>
      <c r="B155" s="197">
        <v>1.01</v>
      </c>
      <c r="C155" s="14">
        <v>17.91</v>
      </c>
      <c r="D155" s="20">
        <f t="shared" ref="D155:D158" si="275">LN(B155)</f>
        <v>0.009950330853</v>
      </c>
      <c r="E155" s="20">
        <f t="shared" ref="E155:E158" si="276">LN(B155/C155)</f>
        <v>-2.875408885</v>
      </c>
      <c r="F155" s="383"/>
      <c r="G155" s="198">
        <v>3.4302741358760427</v>
      </c>
      <c r="H155" s="199">
        <v>17.421533571712352</v>
      </c>
      <c r="I155" s="20">
        <f t="shared" ref="I155:I158" si="277">LN(G155)</f>
        <v>1.232640181</v>
      </c>
      <c r="J155" s="20">
        <f t="shared" ref="J155:J158" si="278">LN(G155/H155)</f>
        <v>-1.625066822</v>
      </c>
      <c r="K155" s="383"/>
      <c r="L155" s="151">
        <v>14.455303933253873</v>
      </c>
      <c r="M155" s="11">
        <v>15.216527612236789</v>
      </c>
      <c r="N155" s="20">
        <f t="shared" ref="N155:N158" si="279">LN(L155)</f>
        <v>2.671061401</v>
      </c>
      <c r="O155" s="20">
        <f t="shared" ref="O155:O158" si="280">LN(L155/M155)</f>
        <v>-0.05132077862</v>
      </c>
      <c r="P155" s="347"/>
      <c r="Y155" s="196">
        <v>100.0</v>
      </c>
      <c r="Z155" s="198">
        <v>1.05</v>
      </c>
      <c r="AA155" s="199">
        <v>17.9</v>
      </c>
      <c r="AB155" s="20">
        <f t="shared" ref="AB155:AB158" si="281">LN(Z155)</f>
        <v>0.04879016417</v>
      </c>
      <c r="AC155" s="398">
        <f t="shared" ref="AC155:AC158" si="282">LN(Z155/AA155)</f>
        <v>-2.836010549</v>
      </c>
      <c r="AD155" s="151">
        <v>7.548387096774192</v>
      </c>
      <c r="AE155" s="11">
        <v>5.624601115879042</v>
      </c>
      <c r="AF155" s="20">
        <f t="shared" ref="AF155:AF158" si="283">LN(AD155)</f>
        <v>2.021333911</v>
      </c>
      <c r="AG155" s="398">
        <f t="shared" ref="AG155:AG158" si="284">LN(AD155/AE155)</f>
        <v>0.294183878</v>
      </c>
      <c r="AH155" s="151">
        <v>12.924731182795696</v>
      </c>
      <c r="AI155" s="11">
        <v>4.907356950863917</v>
      </c>
      <c r="AJ155" s="20">
        <f t="shared" ref="AJ155:AJ158" si="285">LN(AH155)</f>
        <v>2.559142622</v>
      </c>
      <c r="AK155" s="321">
        <f t="shared" ref="AK155:AK158" si="286">LN(AH155/AI155)</f>
        <v>0.9684071243</v>
      </c>
      <c r="AW155" s="319">
        <v>50.0</v>
      </c>
      <c r="AX155" s="151">
        <v>1.8514157706093188</v>
      </c>
      <c r="AY155" s="11">
        <v>6.347876227771574</v>
      </c>
      <c r="AZ155" s="20">
        <f t="shared" ref="AZ155:AZ160" si="287">LN(AX155)</f>
        <v>0.6159506278</v>
      </c>
      <c r="BA155" s="398">
        <f t="shared" ref="BA155:BA160" si="288">LN(AX155/AY155)</f>
        <v>-1.232169677</v>
      </c>
      <c r="BB155" s="151">
        <v>4.52</v>
      </c>
      <c r="BC155" s="11">
        <v>6.035832780358328</v>
      </c>
      <c r="BD155" s="20">
        <f t="shared" ref="BD155:BD160" si="289">LN(BB155)</f>
        <v>1.508511994</v>
      </c>
      <c r="BE155" s="398">
        <f t="shared" ref="BE155:BE160" si="290">LN(BB155/BC155)</f>
        <v>-0.289201843</v>
      </c>
      <c r="BF155" s="151">
        <v>5.577060931899641</v>
      </c>
      <c r="BG155" s="11">
        <v>5.88383556966882</v>
      </c>
      <c r="BH155" s="20">
        <f t="shared" ref="BH155:BH160" si="291">LN(BF155)</f>
        <v>1.718661923</v>
      </c>
      <c r="BI155" s="321">
        <f t="shared" ref="BI155:BI160" si="292">LN(BF155/BG155)</f>
        <v>-0.0535469341</v>
      </c>
    </row>
    <row r="156" ht="15.75" customHeight="1">
      <c r="A156" s="196">
        <v>200.0</v>
      </c>
      <c r="B156" s="151">
        <v>4.32419547079857</v>
      </c>
      <c r="C156" s="11">
        <v>38.77632101708383</v>
      </c>
      <c r="D156" s="20">
        <f t="shared" si="275"/>
        <v>1.464226105</v>
      </c>
      <c r="E156" s="20">
        <f t="shared" si="276"/>
        <v>-2.193583672</v>
      </c>
      <c r="F156" s="383"/>
      <c r="G156" s="198">
        <v>77.77473182359952</v>
      </c>
      <c r="H156" s="199">
        <v>24.08621374652364</v>
      </c>
      <c r="I156" s="20">
        <f t="shared" si="277"/>
        <v>4.353816595</v>
      </c>
      <c r="J156" s="20">
        <f t="shared" si="278"/>
        <v>1.172176962</v>
      </c>
      <c r="K156" s="383"/>
      <c r="L156" s="151">
        <v>77.17878426698451</v>
      </c>
      <c r="M156" s="11">
        <v>24.20540325784664</v>
      </c>
      <c r="N156" s="20">
        <f t="shared" si="279"/>
        <v>4.346124604</v>
      </c>
      <c r="O156" s="20">
        <f t="shared" si="280"/>
        <v>1.159548721</v>
      </c>
      <c r="P156" s="347"/>
      <c r="Y156" s="196">
        <v>200.0</v>
      </c>
      <c r="Z156" s="151">
        <v>5.814064362336113</v>
      </c>
      <c r="AA156" s="11">
        <v>38.47834723877632</v>
      </c>
      <c r="AB156" s="20">
        <f t="shared" si="281"/>
        <v>1.760279872</v>
      </c>
      <c r="AC156" s="398">
        <f t="shared" si="282"/>
        <v>-1.889815801</v>
      </c>
      <c r="AD156" s="151">
        <v>16.688172043010752</v>
      </c>
      <c r="AE156" s="11">
        <v>7.731108467163681</v>
      </c>
      <c r="AF156" s="20">
        <f t="shared" si="283"/>
        <v>2.814700208</v>
      </c>
      <c r="AG156" s="398">
        <f t="shared" si="284"/>
        <v>0.7694479572</v>
      </c>
      <c r="AH156" s="151">
        <v>32.63799283154122</v>
      </c>
      <c r="AI156" s="11">
        <v>5.590432902056492</v>
      </c>
      <c r="AJ156" s="20">
        <f t="shared" si="285"/>
        <v>3.485477034</v>
      </c>
      <c r="AK156" s="321">
        <f t="shared" si="286"/>
        <v>1.764420308</v>
      </c>
      <c r="AW156" s="319">
        <v>75.0</v>
      </c>
      <c r="AX156" s="151">
        <v>2.5304659498207887</v>
      </c>
      <c r="AY156" s="11">
        <v>9.58273422761412</v>
      </c>
      <c r="AZ156" s="20">
        <f t="shared" si="287"/>
        <v>0.9284034557</v>
      </c>
      <c r="BA156" s="398">
        <f t="shared" si="288"/>
        <v>-1.331559506</v>
      </c>
      <c r="BB156" s="151">
        <v>6.845000000000001</v>
      </c>
      <c r="BC156" s="11">
        <v>8.962823186420984</v>
      </c>
      <c r="BD156" s="20">
        <f t="shared" si="289"/>
        <v>1.923518459</v>
      </c>
      <c r="BE156" s="398">
        <f t="shared" si="290"/>
        <v>-0.2695668064</v>
      </c>
      <c r="BF156" s="151">
        <v>9.519713261648743</v>
      </c>
      <c r="BG156" s="11">
        <v>9.646271819016093</v>
      </c>
      <c r="BH156" s="20">
        <f t="shared" si="291"/>
        <v>2.253364729</v>
      </c>
      <c r="BI156" s="321">
        <f t="shared" si="292"/>
        <v>-0.01320677193</v>
      </c>
    </row>
    <row r="157" ht="15.75" customHeight="1">
      <c r="A157" s="196">
        <v>300.0</v>
      </c>
      <c r="B157" s="151">
        <v>32.33373063170441</v>
      </c>
      <c r="C157" s="11">
        <v>48.013508144616594</v>
      </c>
      <c r="D157" s="20">
        <f t="shared" si="275"/>
        <v>3.476110977</v>
      </c>
      <c r="E157" s="20">
        <f t="shared" si="276"/>
        <v>-0.3953714137</v>
      </c>
      <c r="F157" s="383"/>
      <c r="G157" s="198">
        <v>128.2812872467223</v>
      </c>
      <c r="H157" s="199">
        <v>28.823996821613022</v>
      </c>
      <c r="I157" s="20">
        <f t="shared" si="277"/>
        <v>4.854225409</v>
      </c>
      <c r="J157" s="20">
        <f t="shared" si="278"/>
        <v>1.493017146</v>
      </c>
      <c r="K157" s="383"/>
      <c r="L157" s="151">
        <v>150.1823599523242</v>
      </c>
      <c r="M157" s="11">
        <v>24.4437822804926</v>
      </c>
      <c r="N157" s="20">
        <f t="shared" si="279"/>
        <v>5.011850289</v>
      </c>
      <c r="O157" s="20">
        <f t="shared" si="280"/>
        <v>1.815474409</v>
      </c>
      <c r="P157" s="347"/>
      <c r="Y157" s="196">
        <v>300.0</v>
      </c>
      <c r="Z157" s="151">
        <v>26.67222884386174</v>
      </c>
      <c r="AA157" s="11">
        <v>52.0</v>
      </c>
      <c r="AB157" s="20">
        <f t="shared" si="281"/>
        <v>3.283622906</v>
      </c>
      <c r="AC157" s="398">
        <f t="shared" si="282"/>
        <v>-0.6676208127</v>
      </c>
      <c r="AD157" s="151">
        <v>26.00716845878136</v>
      </c>
      <c r="AE157" s="11">
        <v>9.72009302296814</v>
      </c>
      <c r="AF157" s="20">
        <f t="shared" si="283"/>
        <v>3.25837221</v>
      </c>
      <c r="AG157" s="398">
        <f t="shared" si="284"/>
        <v>0.9841770213</v>
      </c>
      <c r="AH157" s="151">
        <v>38.19354838709677</v>
      </c>
      <c r="AI157" s="11">
        <v>8.169427598647728</v>
      </c>
      <c r="AJ157" s="20">
        <f t="shared" si="285"/>
        <v>3.642666611</v>
      </c>
      <c r="AK157" s="321">
        <f t="shared" si="286"/>
        <v>1.542267766</v>
      </c>
      <c r="AW157" s="319">
        <v>100.0</v>
      </c>
      <c r="AX157" s="151">
        <v>2.8888888888888884</v>
      </c>
      <c r="AY157" s="11">
        <v>12.795092598788587</v>
      </c>
      <c r="AZ157" s="20">
        <f t="shared" si="287"/>
        <v>1.060871961</v>
      </c>
      <c r="BA157" s="398">
        <f t="shared" si="288"/>
        <v>-1.488189746</v>
      </c>
      <c r="BB157" s="151">
        <v>12.024999999999999</v>
      </c>
      <c r="BC157" s="11">
        <v>11.618290287053679</v>
      </c>
      <c r="BD157" s="20">
        <f t="shared" si="289"/>
        <v>2.486987816</v>
      </c>
      <c r="BE157" s="398">
        <f t="shared" si="290"/>
        <v>0.03440721076</v>
      </c>
      <c r="BF157" s="151">
        <v>15.97132616487455</v>
      </c>
      <c r="BG157" s="11">
        <v>11.081876484847989</v>
      </c>
      <c r="BH157" s="20">
        <f t="shared" si="291"/>
        <v>2.770795</v>
      </c>
      <c r="BI157" s="321">
        <f t="shared" si="292"/>
        <v>0.365483975</v>
      </c>
    </row>
    <row r="158" ht="15.75" customHeight="1">
      <c r="A158" s="212">
        <v>400.0</v>
      </c>
      <c r="B158" s="213">
        <v>54.085816448152556</v>
      </c>
      <c r="C158" s="214">
        <v>62.038140643623365</v>
      </c>
      <c r="D158" s="323">
        <f t="shared" si="275"/>
        <v>3.990571979</v>
      </c>
      <c r="E158" s="323">
        <f t="shared" si="276"/>
        <v>-0.137177389</v>
      </c>
      <c r="F158" s="386"/>
      <c r="G158" s="215">
        <v>200.0</v>
      </c>
      <c r="H158" s="210">
        <v>32.86</v>
      </c>
      <c r="I158" s="323">
        <f t="shared" si="277"/>
        <v>5.298317367</v>
      </c>
      <c r="J158" s="323">
        <f t="shared" si="278"/>
        <v>1.806061254</v>
      </c>
      <c r="K158" s="386"/>
      <c r="L158" s="213">
        <v>240.17044100119188</v>
      </c>
      <c r="M158" s="214">
        <v>24.8212157330155</v>
      </c>
      <c r="N158" s="323">
        <f t="shared" si="279"/>
        <v>5.481348842</v>
      </c>
      <c r="O158" s="323">
        <f t="shared" si="280"/>
        <v>2.269650082</v>
      </c>
      <c r="P158" s="348"/>
      <c r="Y158" s="212">
        <v>400.0</v>
      </c>
      <c r="Z158" s="217">
        <v>32.0</v>
      </c>
      <c r="AA158" s="218">
        <v>66.46</v>
      </c>
      <c r="AB158" s="20">
        <f t="shared" si="281"/>
        <v>3.465735903</v>
      </c>
      <c r="AC158" s="398">
        <f t="shared" si="282"/>
        <v>-0.7308643601</v>
      </c>
      <c r="AD158" s="151">
        <v>48.76702508960573</v>
      </c>
      <c r="AE158" s="11">
        <v>13.241912296625134</v>
      </c>
      <c r="AF158" s="20">
        <f t="shared" si="283"/>
        <v>3.887054369</v>
      </c>
      <c r="AG158" s="398">
        <f t="shared" si="284"/>
        <v>1.303667396</v>
      </c>
      <c r="AH158" s="151">
        <v>73.49820788530465</v>
      </c>
      <c r="AI158" s="11">
        <v>10.07928749864234</v>
      </c>
      <c r="AJ158" s="20">
        <f t="shared" si="285"/>
        <v>4.297261023</v>
      </c>
      <c r="AK158" s="321">
        <f t="shared" si="286"/>
        <v>1.986778448</v>
      </c>
      <c r="AW158" s="319">
        <v>150.0</v>
      </c>
      <c r="AX158" s="151">
        <v>7.189964157706092</v>
      </c>
      <c r="AY158" s="11">
        <v>18.890731021574794</v>
      </c>
      <c r="AZ158" s="20">
        <f t="shared" si="287"/>
        <v>1.972686187</v>
      </c>
      <c r="BA158" s="398">
        <f t="shared" si="288"/>
        <v>-0.9659851929</v>
      </c>
      <c r="BB158" s="151">
        <v>31.885</v>
      </c>
      <c r="BC158" s="11">
        <v>15.680685513363942</v>
      </c>
      <c r="BD158" s="20">
        <f t="shared" si="289"/>
        <v>3.46213568</v>
      </c>
      <c r="BE158" s="398">
        <f t="shared" si="290"/>
        <v>0.7097059468</v>
      </c>
      <c r="BF158" s="151">
        <v>53.24731182795699</v>
      </c>
      <c r="BG158" s="11">
        <v>12.893247200033965</v>
      </c>
      <c r="BH158" s="20">
        <f t="shared" si="291"/>
        <v>3.974947321</v>
      </c>
      <c r="BI158" s="321">
        <f t="shared" si="292"/>
        <v>1.41824362</v>
      </c>
    </row>
    <row r="159" ht="15.75" customHeight="1">
      <c r="A159" s="5"/>
      <c r="B159" s="141"/>
      <c r="C159" s="141"/>
      <c r="D159" s="155"/>
      <c r="E159" s="155"/>
      <c r="F159" s="141"/>
      <c r="G159" s="141"/>
      <c r="H159" s="155"/>
      <c r="I159" s="155"/>
      <c r="J159" s="141"/>
      <c r="K159" s="141"/>
      <c r="L159" s="155"/>
      <c r="M159" s="155"/>
      <c r="Y159" s="203"/>
      <c r="Z159" s="151"/>
      <c r="AA159" s="11"/>
      <c r="AB159" s="20"/>
      <c r="AC159" s="398"/>
      <c r="AD159" s="151"/>
      <c r="AE159" s="11"/>
      <c r="AF159" s="20"/>
      <c r="AG159" s="398"/>
      <c r="AH159" s="151"/>
      <c r="AI159" s="11"/>
      <c r="AJ159" s="20"/>
      <c r="AK159" s="321"/>
      <c r="AW159" s="319">
        <v>250.0</v>
      </c>
      <c r="AX159" s="151">
        <v>9.5</v>
      </c>
      <c r="AY159" s="11">
        <v>31.938959973897937</v>
      </c>
      <c r="AZ159" s="323">
        <f t="shared" si="287"/>
        <v>2.251291799</v>
      </c>
      <c r="BA159" s="399">
        <f t="shared" si="288"/>
        <v>-1.212534782</v>
      </c>
      <c r="BB159" s="151">
        <v>120.0</v>
      </c>
      <c r="BC159" s="11">
        <v>21.45739155877405</v>
      </c>
      <c r="BD159" s="20">
        <f t="shared" si="289"/>
        <v>4.787491743</v>
      </c>
      <c r="BE159" s="398">
        <f t="shared" si="290"/>
        <v>1.721422562</v>
      </c>
      <c r="BF159" s="151">
        <v>103.28999999999999</v>
      </c>
      <c r="BG159" s="11">
        <v>19.5039098740888</v>
      </c>
      <c r="BH159" s="20">
        <f t="shared" si="291"/>
        <v>4.637540566</v>
      </c>
      <c r="BI159" s="321">
        <f t="shared" si="292"/>
        <v>1.666925614</v>
      </c>
    </row>
    <row r="160" ht="15.75" customHeight="1">
      <c r="A160" s="5"/>
      <c r="B160" s="141"/>
      <c r="C160" s="141"/>
      <c r="D160" s="155"/>
      <c r="E160" s="155"/>
      <c r="F160" s="141"/>
      <c r="G160" s="141"/>
      <c r="H160" s="155"/>
      <c r="I160" s="155"/>
      <c r="J160" s="141"/>
      <c r="K160" s="141"/>
      <c r="L160" s="155"/>
      <c r="M160" s="155"/>
      <c r="Y160" s="216"/>
      <c r="Z160" s="213"/>
      <c r="AA160" s="214"/>
      <c r="AB160" s="323"/>
      <c r="AC160" s="399"/>
      <c r="AD160" s="213"/>
      <c r="AE160" s="214"/>
      <c r="AF160" s="323"/>
      <c r="AG160" s="399"/>
      <c r="AH160" s="213"/>
      <c r="AI160" s="214"/>
      <c r="AJ160" s="323"/>
      <c r="AK160" s="324"/>
      <c r="AW160" s="319">
        <v>350.0</v>
      </c>
      <c r="AX160" s="213">
        <v>96.5</v>
      </c>
      <c r="AY160" s="214">
        <v>33.57615894039735</v>
      </c>
      <c r="AZ160" s="323">
        <f t="shared" si="287"/>
        <v>4.569543008</v>
      </c>
      <c r="BA160" s="399">
        <f t="shared" si="288"/>
        <v>1.055726749</v>
      </c>
      <c r="BB160" s="213">
        <v>177.5</v>
      </c>
      <c r="BC160" s="214">
        <v>22.764123570575183</v>
      </c>
      <c r="BD160" s="323">
        <f t="shared" si="289"/>
        <v>5.178970609</v>
      </c>
      <c r="BE160" s="399">
        <f t="shared" si="290"/>
        <v>2.05378484</v>
      </c>
      <c r="BF160" s="213">
        <v>200.0</v>
      </c>
      <c r="BG160" s="214">
        <v>19.940755467196823</v>
      </c>
      <c r="BH160" s="323">
        <f t="shared" si="291"/>
        <v>5.298317367</v>
      </c>
      <c r="BI160" s="324">
        <f t="shared" si="292"/>
        <v>2.305551716</v>
      </c>
    </row>
    <row r="161" ht="15.75" customHeight="1"/>
    <row r="162" ht="15.75" hidden="1" customHeight="1"/>
    <row r="163" ht="15.75" hidden="1" customHeight="1"/>
    <row r="164" ht="15.75" hidden="1" customHeight="1"/>
    <row r="165" ht="15.75" hidden="1" customHeight="1">
      <c r="A165" s="147"/>
      <c r="B165" s="191" t="s">
        <v>683</v>
      </c>
      <c r="C165" s="91"/>
      <c r="D165" s="91"/>
      <c r="E165" s="91"/>
      <c r="F165" s="91"/>
      <c r="G165" s="91"/>
      <c r="H165" s="91"/>
      <c r="I165" s="91"/>
      <c r="J165" s="92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91" t="s">
        <v>684</v>
      </c>
      <c r="AA165" s="91"/>
      <c r="AB165" s="91"/>
      <c r="AC165" s="91"/>
      <c r="AD165" s="91"/>
      <c r="AE165" s="91"/>
      <c r="AF165" s="91"/>
      <c r="AG165" s="91"/>
      <c r="AH165" s="92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87" t="s">
        <v>685</v>
      </c>
      <c r="AY165" s="188"/>
      <c r="AZ165" s="188"/>
      <c r="BA165" s="188"/>
      <c r="BB165" s="188"/>
      <c r="BC165" s="188"/>
      <c r="BD165" s="188"/>
      <c r="BE165" s="188"/>
      <c r="BF165" s="189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</row>
    <row r="166" ht="15.75" hidden="1" customHeight="1">
      <c r="A166" s="147"/>
      <c r="B166" s="315" t="s">
        <v>229</v>
      </c>
      <c r="C166" s="314"/>
      <c r="D166" s="234"/>
      <c r="E166" s="315" t="s">
        <v>230</v>
      </c>
      <c r="F166" s="314"/>
      <c r="G166" s="234"/>
      <c r="H166" s="315" t="s">
        <v>231</v>
      </c>
      <c r="I166" s="314"/>
      <c r="J166" s="234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315" t="s">
        <v>229</v>
      </c>
      <c r="AA166" s="314"/>
      <c r="AB166" s="234"/>
      <c r="AC166" s="315" t="s">
        <v>230</v>
      </c>
      <c r="AD166" s="314"/>
      <c r="AE166" s="234"/>
      <c r="AF166" s="315" t="s">
        <v>231</v>
      </c>
      <c r="AG166" s="314"/>
      <c r="AH166" s="234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315" t="s">
        <v>229</v>
      </c>
      <c r="AY166" s="314"/>
      <c r="AZ166" s="234"/>
      <c r="BA166" s="357" t="s">
        <v>230</v>
      </c>
      <c r="BB166" s="314"/>
      <c r="BC166" s="234"/>
      <c r="BD166" s="357" t="s">
        <v>231</v>
      </c>
      <c r="BE166" s="314"/>
      <c r="BF166" s="234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</row>
    <row r="167" ht="15.75" hidden="1" customHeight="1">
      <c r="A167" s="258" t="s">
        <v>168</v>
      </c>
      <c r="B167" s="317" t="s">
        <v>378</v>
      </c>
      <c r="C167" s="50" t="s">
        <v>232</v>
      </c>
      <c r="D167" s="400" t="s">
        <v>686</v>
      </c>
      <c r="E167" s="317" t="s">
        <v>378</v>
      </c>
      <c r="F167" s="50" t="s">
        <v>232</v>
      </c>
      <c r="G167" s="400" t="s">
        <v>686</v>
      </c>
      <c r="H167" s="317" t="s">
        <v>378</v>
      </c>
      <c r="I167" s="50" t="s">
        <v>232</v>
      </c>
      <c r="J167" s="400" t="s">
        <v>686</v>
      </c>
      <c r="Y167" s="258" t="s">
        <v>168</v>
      </c>
      <c r="Z167" s="317" t="s">
        <v>378</v>
      </c>
      <c r="AA167" s="50" t="s">
        <v>232</v>
      </c>
      <c r="AB167" s="347"/>
      <c r="AC167" s="317" t="s">
        <v>378</v>
      </c>
      <c r="AD167" s="50" t="s">
        <v>232</v>
      </c>
      <c r="AE167" s="347"/>
      <c r="AF167" s="317" t="s">
        <v>378</v>
      </c>
      <c r="AG167" s="50" t="s">
        <v>232</v>
      </c>
      <c r="AH167" s="347"/>
      <c r="AW167" s="258" t="s">
        <v>168</v>
      </c>
      <c r="AX167" s="317" t="s">
        <v>378</v>
      </c>
      <c r="AY167" s="50" t="s">
        <v>232</v>
      </c>
      <c r="AZ167" s="347"/>
      <c r="BA167" s="358" t="s">
        <v>378</v>
      </c>
      <c r="BB167" s="50" t="s">
        <v>232</v>
      </c>
      <c r="BC167" s="347"/>
      <c r="BD167" s="358" t="s">
        <v>378</v>
      </c>
      <c r="BE167" s="50" t="s">
        <v>232</v>
      </c>
      <c r="BF167" s="347"/>
    </row>
    <row r="168" ht="15.75" hidden="1" customHeight="1">
      <c r="A168" s="319">
        <v>50.0</v>
      </c>
      <c r="B168" s="320">
        <v>0.40382065809977274</v>
      </c>
      <c r="C168" s="20">
        <v>2.5304659498207887</v>
      </c>
      <c r="D168" s="347" t="str">
        <f t="array" ref="D168">LN(C168(1-B168/B168)-(B168/1-B168))</f>
        <v>#NAME?</v>
      </c>
      <c r="E168" s="320">
        <v>0.5439808538632549</v>
      </c>
      <c r="F168" s="20">
        <v>27.6200716845878</v>
      </c>
      <c r="G168" s="347"/>
      <c r="H168" s="320">
        <v>0.6519245932661734</v>
      </c>
      <c r="I168" s="20">
        <v>12.924731182795696</v>
      </c>
      <c r="J168" s="347"/>
      <c r="Y168" s="319">
        <v>50.0</v>
      </c>
      <c r="Z168" s="320">
        <v>0.17823438572409053</v>
      </c>
      <c r="AA168" s="20"/>
      <c r="AB168" s="347"/>
      <c r="AC168" s="320">
        <v>0.6674511548289602</v>
      </c>
      <c r="AD168" s="20"/>
      <c r="AE168" s="347"/>
      <c r="AF168" s="320">
        <v>0.47307007740090273</v>
      </c>
      <c r="AG168" s="20"/>
      <c r="AH168" s="347"/>
      <c r="AW168" s="319">
        <v>50.0</v>
      </c>
      <c r="AX168" s="320">
        <v>0.2559463720994248</v>
      </c>
      <c r="AY168" s="20">
        <v>2.351254480286738</v>
      </c>
      <c r="AZ168" s="347"/>
      <c r="BA168" s="44">
        <v>0.6579570130311829</v>
      </c>
      <c r="BB168" s="20">
        <v>9.519713261648745</v>
      </c>
      <c r="BC168" s="347"/>
      <c r="BD168" s="44">
        <v>0.40606725777569164</v>
      </c>
      <c r="BE168" s="20">
        <v>5.577060931899641</v>
      </c>
      <c r="BF168" s="347"/>
    </row>
    <row r="169" ht="15.75" hidden="1" customHeight="1">
      <c r="A169" s="319">
        <v>75.0</v>
      </c>
      <c r="B169" s="320">
        <v>0.6234223153102233</v>
      </c>
      <c r="C169" s="20">
        <v>2.3512544802867383</v>
      </c>
      <c r="D169" s="347"/>
      <c r="E169" s="320">
        <v>0.6044712964834681</v>
      </c>
      <c r="F169" s="20">
        <v>57.189964157706086</v>
      </c>
      <c r="G169" s="347"/>
      <c r="H169" s="320">
        <v>0.8232541181056366</v>
      </c>
      <c r="I169" s="20">
        <v>32.63799283154122</v>
      </c>
      <c r="J169" s="347"/>
      <c r="Y169" s="319">
        <v>75.0</v>
      </c>
      <c r="Z169" s="320">
        <v>0.2908671875872597</v>
      </c>
      <c r="AA169" s="20"/>
      <c r="AB169" s="347"/>
      <c r="AC169" s="320">
        <v>0.9928836074203976</v>
      </c>
      <c r="AD169" s="20"/>
      <c r="AE169" s="347"/>
      <c r="AF169" s="320">
        <v>0.656776741788084</v>
      </c>
      <c r="AG169" s="20"/>
      <c r="AH169" s="347"/>
      <c r="AW169" s="319">
        <v>75.0</v>
      </c>
      <c r="AX169" s="320">
        <v>0.3900821963348449</v>
      </c>
      <c r="AY169" s="20">
        <v>2.5304659498207887</v>
      </c>
      <c r="AZ169" s="347"/>
      <c r="BA169" s="44">
        <v>0.8821642938401709</v>
      </c>
      <c r="BB169" s="20">
        <v>21.34767025089606</v>
      </c>
      <c r="BC169" s="347"/>
      <c r="BD169" s="44">
        <v>0.6682204438577675</v>
      </c>
      <c r="BE169" s="20">
        <v>9.519713261648743</v>
      </c>
      <c r="BF169" s="347"/>
    </row>
    <row r="170" ht="15.75" hidden="1" customHeight="1">
      <c r="A170" s="319">
        <v>100.0</v>
      </c>
      <c r="B170" s="320">
        <v>0.6963417590657736</v>
      </c>
      <c r="C170" s="20">
        <v>6.831541218637992</v>
      </c>
      <c r="D170" s="347"/>
      <c r="E170" s="320">
        <v>0.7539000000000001</v>
      </c>
      <c r="F170" s="20">
        <v>65.0</v>
      </c>
      <c r="G170" s="347"/>
      <c r="H170" s="320">
        <v>0.9783754351666067</v>
      </c>
      <c r="I170" s="20">
        <v>38.19354838709677</v>
      </c>
      <c r="J170" s="347"/>
      <c r="Y170" s="319">
        <v>100.0</v>
      </c>
      <c r="Z170" s="320">
        <v>0.37535125703014083</v>
      </c>
      <c r="AA170" s="20"/>
      <c r="AB170" s="347"/>
      <c r="AC170" s="320">
        <v>1.206891740191303</v>
      </c>
      <c r="AD170" s="20"/>
      <c r="AE170" s="347"/>
      <c r="AF170" s="320">
        <v>0.7263865081812106</v>
      </c>
      <c r="AG170" s="20"/>
      <c r="AH170" s="347"/>
      <c r="AW170" s="319">
        <v>100.0</v>
      </c>
      <c r="AX170" s="320">
        <v>0.5006912395731925</v>
      </c>
      <c r="AY170" s="20">
        <v>2.8888888888888884</v>
      </c>
      <c r="AZ170" s="347"/>
      <c r="BA170" s="44">
        <v>1.0878334307238555</v>
      </c>
      <c r="BB170" s="20">
        <v>31.025089605734763</v>
      </c>
      <c r="BC170" s="347"/>
      <c r="BD170" s="44">
        <v>0.7384549144366792</v>
      </c>
      <c r="BE170" s="20">
        <v>15.97132616487455</v>
      </c>
      <c r="BF170" s="347"/>
    </row>
    <row r="171" ht="15.75" hidden="1" customHeight="1">
      <c r="A171" s="319">
        <v>150.0</v>
      </c>
      <c r="B171" s="320">
        <v>0.9119828469515012</v>
      </c>
      <c r="C171" s="20">
        <v>12.387096774193548</v>
      </c>
      <c r="D171" s="347"/>
      <c r="E171" s="320">
        <v>0.7720781273826135</v>
      </c>
      <c r="F171" s="20">
        <v>100.55913978494621</v>
      </c>
      <c r="G171" s="347"/>
      <c r="H171" s="320">
        <v>1.0008010699994638</v>
      </c>
      <c r="I171" s="20">
        <v>73.49820788530465</v>
      </c>
      <c r="J171" s="347"/>
      <c r="Y171" s="319">
        <v>150.0</v>
      </c>
      <c r="Z171" s="320">
        <v>0.49414074233316757</v>
      </c>
      <c r="AA171" s="20"/>
      <c r="AB171" s="347"/>
      <c r="AC171" s="320">
        <v>1.3355685721799337</v>
      </c>
      <c r="AD171" s="20"/>
      <c r="AE171" s="347"/>
      <c r="AF171" s="320">
        <v>0.8296239628637947</v>
      </c>
      <c r="AG171" s="20"/>
      <c r="AH171" s="347"/>
      <c r="AW171" s="319">
        <v>150.0</v>
      </c>
      <c r="AX171" s="320">
        <v>0.6906513330110013</v>
      </c>
      <c r="AY171" s="20">
        <v>7.189964157706092</v>
      </c>
      <c r="AZ171" s="347"/>
      <c r="BA171" s="44">
        <v>1.1431429285892905</v>
      </c>
      <c r="BB171" s="20">
        <v>71.8853046594982</v>
      </c>
      <c r="BC171" s="347"/>
      <c r="BD171" s="44">
        <v>0.8029078808349362</v>
      </c>
      <c r="BE171" s="20">
        <v>53.24731182795699</v>
      </c>
      <c r="BF171" s="347"/>
    </row>
    <row r="172" ht="15.75" hidden="1" customHeight="1">
      <c r="A172" s="319">
        <v>250.0</v>
      </c>
      <c r="B172" s="322">
        <v>0.9496688741721857</v>
      </c>
      <c r="C172" s="323">
        <v>48.767025089605724</v>
      </c>
      <c r="D172" s="348"/>
      <c r="E172" s="322">
        <v>0.8464343512769329</v>
      </c>
      <c r="F172" s="323">
        <v>138.55197132616485</v>
      </c>
      <c r="G172" s="348"/>
      <c r="H172" s="322">
        <v>0.9435934269561012</v>
      </c>
      <c r="I172" s="323">
        <v>121.16845878136199</v>
      </c>
      <c r="J172" s="348"/>
      <c r="Y172" s="319">
        <v>250.0</v>
      </c>
      <c r="Z172" s="322">
        <v>0.6619433739206178</v>
      </c>
      <c r="AA172" s="323"/>
      <c r="AB172" s="348"/>
      <c r="AC172" s="322">
        <v>1.545126236571229</v>
      </c>
      <c r="AD172" s="323"/>
      <c r="AE172" s="348"/>
      <c r="AF172" s="322">
        <v>0.9500068884960868</v>
      </c>
      <c r="AG172" s="323"/>
      <c r="AH172" s="348"/>
      <c r="AW172" s="319">
        <v>250.0</v>
      </c>
      <c r="AX172" s="322">
        <v>0.9520184959776864</v>
      </c>
      <c r="AY172" s="323">
        <v>86.93906810035841</v>
      </c>
      <c r="AZ172" s="348"/>
      <c r="BA172" s="330">
        <v>0.9887502231786464</v>
      </c>
      <c r="BB172" s="323">
        <v>217.40501792114696</v>
      </c>
      <c r="BC172" s="348"/>
      <c r="BD172" s="330">
        <v>0.965054062720452</v>
      </c>
      <c r="BE172" s="323">
        <v>167.2258064516129</v>
      </c>
      <c r="BF172" s="348"/>
    </row>
    <row r="173" ht="15.75" hidden="1" customHeight="1">
      <c r="A173" s="319">
        <v>350.0</v>
      </c>
      <c r="Y173" s="319">
        <v>350.0</v>
      </c>
      <c r="AW173" s="319">
        <v>350.0</v>
      </c>
    </row>
    <row r="174" ht="15.75" hidden="1" customHeight="1"/>
    <row r="175" ht="15.75" hidden="1" customHeight="1"/>
    <row r="176" ht="15.75" hidden="1" customHeight="1">
      <c r="C176" s="166" t="s">
        <v>714</v>
      </c>
      <c r="D176" s="167" t="s">
        <v>715</v>
      </c>
      <c r="E176" s="168" t="s">
        <v>716</v>
      </c>
      <c r="F176" s="166" t="s">
        <v>717</v>
      </c>
      <c r="G176" s="167" t="s">
        <v>715</v>
      </c>
      <c r="H176" s="168" t="s">
        <v>718</v>
      </c>
      <c r="I176" s="166" t="s">
        <v>719</v>
      </c>
      <c r="J176" s="167" t="s">
        <v>715</v>
      </c>
      <c r="K176" s="168" t="s">
        <v>720</v>
      </c>
      <c r="AA176" s="166" t="s">
        <v>721</v>
      </c>
      <c r="AB176" s="167" t="s">
        <v>715</v>
      </c>
      <c r="AC176" s="168" t="s">
        <v>722</v>
      </c>
      <c r="AD176" s="166" t="s">
        <v>723</v>
      </c>
      <c r="AE176" s="167" t="s">
        <v>715</v>
      </c>
      <c r="AF176" s="168" t="s">
        <v>724</v>
      </c>
      <c r="AG176" s="166" t="s">
        <v>725</v>
      </c>
      <c r="AH176" s="167" t="s">
        <v>715</v>
      </c>
      <c r="AI176" s="168" t="s">
        <v>726</v>
      </c>
      <c r="AY176" s="166" t="s">
        <v>727</v>
      </c>
      <c r="AZ176" s="167" t="s">
        <v>715</v>
      </c>
      <c r="BA176" s="168" t="s">
        <v>728</v>
      </c>
      <c r="BB176" s="166" t="s">
        <v>729</v>
      </c>
      <c r="BC176" s="167" t="s">
        <v>715</v>
      </c>
      <c r="BD176" s="168" t="s">
        <v>730</v>
      </c>
      <c r="BE176" s="166" t="s">
        <v>731</v>
      </c>
      <c r="BF176" s="167" t="s">
        <v>715</v>
      </c>
      <c r="BG176" s="168" t="s">
        <v>732</v>
      </c>
    </row>
    <row r="177" ht="15.75" hidden="1" customHeight="1">
      <c r="C177" s="354"/>
      <c r="D177" s="303"/>
      <c r="E177" s="348"/>
      <c r="F177" s="354"/>
      <c r="G177" s="303"/>
      <c r="H177" s="348"/>
      <c r="I177" s="354"/>
      <c r="J177" s="303"/>
      <c r="K177" s="348"/>
      <c r="AA177" s="354"/>
      <c r="AB177" s="303"/>
      <c r="AC177" s="348"/>
      <c r="AD177" s="354"/>
      <c r="AE177" s="303"/>
      <c r="AF177" s="348"/>
      <c r="AG177" s="354"/>
      <c r="AH177" s="303"/>
      <c r="AI177" s="348"/>
      <c r="AY177" s="354"/>
      <c r="AZ177" s="303"/>
      <c r="BA177" s="348"/>
      <c r="BB177" s="354"/>
      <c r="BC177" s="303"/>
      <c r="BD177" s="348"/>
      <c r="BE177" s="354"/>
      <c r="BF177" s="303"/>
      <c r="BG177" s="348"/>
    </row>
    <row r="178" ht="15.75" hidden="1" customHeight="1">
      <c r="C178" s="359" t="s">
        <v>733</v>
      </c>
      <c r="D178" s="3"/>
      <c r="E178" s="3"/>
      <c r="F178" s="3"/>
      <c r="G178" s="3"/>
      <c r="H178" s="3"/>
      <c r="I178" s="3"/>
      <c r="J178" s="3"/>
      <c r="K178" s="356"/>
      <c r="L178" s="147"/>
      <c r="M178" s="147"/>
      <c r="N178" s="147"/>
      <c r="AA178" s="187" t="s">
        <v>734</v>
      </c>
      <c r="AB178" s="188"/>
      <c r="AC178" s="188"/>
      <c r="AD178" s="188"/>
      <c r="AE178" s="188"/>
      <c r="AF178" s="188"/>
      <c r="AG178" s="188"/>
      <c r="AH178" s="188"/>
      <c r="AI178" s="189"/>
      <c r="AJ178" s="147"/>
      <c r="AY178" s="187" t="s">
        <v>735</v>
      </c>
      <c r="AZ178" s="188"/>
      <c r="BA178" s="188"/>
      <c r="BB178" s="188"/>
      <c r="BC178" s="188"/>
      <c r="BD178" s="188"/>
      <c r="BE178" s="188"/>
      <c r="BF178" s="188"/>
      <c r="BG178" s="189"/>
      <c r="BH178" s="147"/>
    </row>
    <row r="179" ht="15.75" hidden="1" customHeight="1">
      <c r="C179" s="315" t="s">
        <v>229</v>
      </c>
      <c r="D179" s="314"/>
      <c r="E179" s="234"/>
      <c r="F179" s="315" t="s">
        <v>230</v>
      </c>
      <c r="G179" s="314"/>
      <c r="H179" s="234"/>
      <c r="I179" s="315" t="s">
        <v>231</v>
      </c>
      <c r="J179" s="314"/>
      <c r="K179" s="234"/>
      <c r="L179" s="147"/>
      <c r="M179" s="147"/>
      <c r="N179" s="147"/>
      <c r="AA179" s="315" t="s">
        <v>229</v>
      </c>
      <c r="AB179" s="314"/>
      <c r="AC179" s="234"/>
      <c r="AD179" s="315" t="s">
        <v>230</v>
      </c>
      <c r="AE179" s="314"/>
      <c r="AF179" s="234"/>
      <c r="AG179" s="315" t="s">
        <v>231</v>
      </c>
      <c r="AH179" s="314"/>
      <c r="AI179" s="234"/>
      <c r="AJ179" s="147"/>
      <c r="AY179" s="315" t="s">
        <v>229</v>
      </c>
      <c r="AZ179" s="314"/>
      <c r="BA179" s="234"/>
      <c r="BB179" s="315" t="s">
        <v>230</v>
      </c>
      <c r="BC179" s="314"/>
      <c r="BD179" s="234"/>
      <c r="BE179" s="315" t="s">
        <v>231</v>
      </c>
      <c r="BF179" s="314"/>
      <c r="BG179" s="234"/>
      <c r="BH179" s="147"/>
    </row>
    <row r="180" ht="15.75" hidden="1" customHeight="1">
      <c r="B180" s="258" t="s">
        <v>168</v>
      </c>
      <c r="C180" s="317" t="s">
        <v>378</v>
      </c>
      <c r="D180" s="50" t="s">
        <v>443</v>
      </c>
      <c r="E180" s="318" t="s">
        <v>444</v>
      </c>
      <c r="F180" s="317" t="s">
        <v>378</v>
      </c>
      <c r="G180" s="50" t="s">
        <v>443</v>
      </c>
      <c r="H180" s="318" t="s">
        <v>444</v>
      </c>
      <c r="I180" s="317" t="s">
        <v>378</v>
      </c>
      <c r="J180" s="50" t="s">
        <v>443</v>
      </c>
      <c r="K180" s="318" t="s">
        <v>444</v>
      </c>
      <c r="Z180" s="258" t="s">
        <v>168</v>
      </c>
      <c r="AA180" s="317" t="s">
        <v>378</v>
      </c>
      <c r="AB180" s="50" t="s">
        <v>443</v>
      </c>
      <c r="AC180" s="318" t="s">
        <v>444</v>
      </c>
      <c r="AD180" s="317" t="s">
        <v>378</v>
      </c>
      <c r="AE180" s="50" t="s">
        <v>443</v>
      </c>
      <c r="AF180" s="318" t="s">
        <v>444</v>
      </c>
      <c r="AG180" s="317" t="s">
        <v>378</v>
      </c>
      <c r="AH180" s="50" t="s">
        <v>443</v>
      </c>
      <c r="AI180" s="318" t="s">
        <v>444</v>
      </c>
      <c r="AX180" s="258" t="s">
        <v>168</v>
      </c>
      <c r="AY180" s="317" t="s">
        <v>378</v>
      </c>
      <c r="AZ180" s="50" t="s">
        <v>443</v>
      </c>
      <c r="BA180" s="318" t="s">
        <v>444</v>
      </c>
      <c r="BB180" s="317" t="s">
        <v>378</v>
      </c>
      <c r="BC180" s="50" t="s">
        <v>443</v>
      </c>
      <c r="BD180" s="318" t="s">
        <v>444</v>
      </c>
      <c r="BE180" s="317" t="s">
        <v>378</v>
      </c>
      <c r="BF180" s="50" t="s">
        <v>443</v>
      </c>
      <c r="BG180" s="318" t="s">
        <v>444</v>
      </c>
    </row>
    <row r="181" ht="15.75" hidden="1" customHeight="1">
      <c r="B181" s="319">
        <v>50.0</v>
      </c>
      <c r="C181" s="320">
        <v>0.40382065809977274</v>
      </c>
      <c r="D181" s="20">
        <f t="shared" ref="D181:D185" si="293">LOG(1-C181)</f>
        <v>-0.2246230767</v>
      </c>
      <c r="E181" s="321">
        <f t="shared" ref="E181:E185" si="294">LOG(C181/$B181)</f>
        <v>-2.092781472</v>
      </c>
      <c r="F181" s="320">
        <v>0.5439808538632549</v>
      </c>
      <c r="G181" s="20">
        <f t="shared" ref="G181:G185" si="295">LOG(1-F181)</f>
        <v>-0.3410169229</v>
      </c>
      <c r="H181" s="321">
        <f t="shared" ref="H181:H185" si="296">LOG(F181/$B181)</f>
        <v>-1.96338639</v>
      </c>
      <c r="I181" s="320">
        <v>0.6519245932661734</v>
      </c>
      <c r="J181" s="20">
        <f t="shared" ref="J181:J185" si="297">LOG(1-I181)</f>
        <v>-0.4583266607</v>
      </c>
      <c r="K181" s="321">
        <f t="shared" ref="K181:K185" si="298">LOG(I181/$B181)</f>
        <v>-1.88477264</v>
      </c>
      <c r="Z181" s="382">
        <v>54.32258064516128</v>
      </c>
      <c r="AA181" s="320">
        <v>0.17823438572409053</v>
      </c>
      <c r="AB181" s="20">
        <f t="shared" ref="AB181:AB185" si="299">LOG(1-AA181)</f>
        <v>-0.08525203519</v>
      </c>
      <c r="AC181" s="321">
        <f t="shared" ref="AC181:AC185" si="300">LOG(AA181/Z181)</f>
        <v>-2.4839889</v>
      </c>
      <c r="AD181" s="320">
        <v>0.6674511548289602</v>
      </c>
      <c r="AE181" s="20">
        <f t="shared" ref="AE181:AE185" si="301">LOG(1-AD181)</f>
        <v>-0.478144556</v>
      </c>
      <c r="AF181" s="321">
        <f t="shared" ref="AF181:AF185" si="302">LOG(AD181/$Z181)</f>
        <v>-1.910560905</v>
      </c>
      <c r="AG181" s="320">
        <v>0.47307007740090273</v>
      </c>
      <c r="AH181" s="20">
        <f t="shared" ref="AH181:AH185" si="303">LOG(1-AG181)</f>
        <v>-0.2782471386</v>
      </c>
      <c r="AI181" s="321">
        <f t="shared" ref="AI181:AI185" si="304">LOG(AG181/$Z181)</f>
        <v>-2.060054914</v>
      </c>
      <c r="AX181" s="382">
        <v>57.189964157706086</v>
      </c>
      <c r="AY181" s="320">
        <v>0.2559463720994248</v>
      </c>
      <c r="AZ181" s="20">
        <f t="shared" ref="AZ181:AZ185" si="305">LOG(1-AY181)</f>
        <v>-0.1283957614</v>
      </c>
      <c r="BA181" s="321">
        <f t="shared" ref="BA181:BA185" si="306">LOG(AY181/$AX181)</f>
        <v>-2.349170846</v>
      </c>
      <c r="BB181" s="320">
        <v>0.6579570130311829</v>
      </c>
      <c r="BC181" s="20">
        <f t="shared" ref="BC181:BC185" si="307">LOG(1-BB181)</f>
        <v>-0.4659193096</v>
      </c>
      <c r="BD181" s="321">
        <f t="shared" ref="BD181:BD185" si="308">LOG(BB181/$AX181)</f>
        <v>-1.939122304</v>
      </c>
      <c r="BE181" s="320">
        <v>0.40606725777569164</v>
      </c>
      <c r="BF181" s="20">
        <f t="shared" ref="BF181:BF185" si="309">LOG(1-BE181)</f>
        <v>-0.2262627323</v>
      </c>
      <c r="BG181" s="321">
        <f t="shared" ref="BG181:BG185" si="310">LOG(BE181/$AX181)</f>
        <v>-2.148721852</v>
      </c>
    </row>
    <row r="182" ht="15.75" hidden="1" customHeight="1">
      <c r="B182" s="319">
        <v>75.0</v>
      </c>
      <c r="C182" s="320">
        <v>0.6234223153102233</v>
      </c>
      <c r="D182" s="20">
        <f t="shared" si="293"/>
        <v>-0.4241454191</v>
      </c>
      <c r="E182" s="321">
        <f t="shared" si="294"/>
        <v>-2.08027892</v>
      </c>
      <c r="F182" s="320">
        <v>0.6044712964834681</v>
      </c>
      <c r="G182" s="20">
        <f t="shared" si="295"/>
        <v>-0.4028219943</v>
      </c>
      <c r="H182" s="321">
        <f t="shared" si="296"/>
        <v>-2.09368558</v>
      </c>
      <c r="I182" s="320">
        <v>0.8232541181056366</v>
      </c>
      <c r="J182" s="20">
        <f t="shared" si="297"/>
        <v>-0.7526506963</v>
      </c>
      <c r="K182" s="321">
        <f t="shared" si="298"/>
        <v>-1.959527352</v>
      </c>
      <c r="Z182" s="382">
        <v>86.2222222222222</v>
      </c>
      <c r="AA182" s="320">
        <v>0.2908671875872597</v>
      </c>
      <c r="AB182" s="20">
        <f t="shared" si="299"/>
        <v>-0.1492724188</v>
      </c>
      <c r="AC182" s="321">
        <f t="shared" si="300"/>
        <v>-2.47192448</v>
      </c>
      <c r="AD182" s="320">
        <v>0.9928836074203976</v>
      </c>
      <c r="AE182" s="20">
        <f t="shared" si="301"/>
        <v>-2.147740102</v>
      </c>
      <c r="AF182" s="321">
        <f t="shared" si="302"/>
        <v>-1.938720871</v>
      </c>
      <c r="AG182" s="320">
        <v>0.656776741788084</v>
      </c>
      <c r="AH182" s="20">
        <f t="shared" si="303"/>
        <v>-0.4644232903</v>
      </c>
      <c r="AI182" s="321">
        <f t="shared" si="304"/>
        <v>-2.118201447</v>
      </c>
      <c r="AX182" s="382">
        <v>85.86379928315411</v>
      </c>
      <c r="AY182" s="320">
        <v>0.3900821963348449</v>
      </c>
      <c r="AZ182" s="20">
        <f t="shared" si="305"/>
        <v>-0.2147286893</v>
      </c>
      <c r="BA182" s="321">
        <f t="shared" si="306"/>
        <v>-2.342653972</v>
      </c>
      <c r="BB182" s="320">
        <v>0.8821642938401709</v>
      </c>
      <c r="BC182" s="20">
        <f t="shared" si="307"/>
        <v>-0.9287230912</v>
      </c>
      <c r="BD182" s="321">
        <f t="shared" si="308"/>
        <v>-1.988260626</v>
      </c>
      <c r="BE182" s="320">
        <v>0.6682204438577675</v>
      </c>
      <c r="BF182" s="20">
        <f t="shared" si="309"/>
        <v>-0.4791503782</v>
      </c>
      <c r="BG182" s="321">
        <f t="shared" si="310"/>
        <v>-2.108890343</v>
      </c>
    </row>
    <row r="183" ht="15.75" hidden="1" customHeight="1">
      <c r="B183" s="319">
        <v>100.0</v>
      </c>
      <c r="C183" s="320">
        <v>0.6963417590657736</v>
      </c>
      <c r="D183" s="20">
        <f t="shared" si="293"/>
        <v>-0.5176149281</v>
      </c>
      <c r="E183" s="321">
        <f t="shared" si="294"/>
        <v>-2.15717756</v>
      </c>
      <c r="F183" s="320">
        <v>0.7539000000000001</v>
      </c>
      <c r="G183" s="20">
        <f t="shared" si="295"/>
        <v>-0.6088883863</v>
      </c>
      <c r="H183" s="321">
        <f t="shared" si="296"/>
        <v>-2.122686257</v>
      </c>
      <c r="I183" s="320">
        <v>0.9783754351666067</v>
      </c>
      <c r="J183" s="20">
        <f t="shared" si="297"/>
        <v>-1.665052623</v>
      </c>
      <c r="K183" s="321">
        <f t="shared" si="298"/>
        <v>-2.00949446</v>
      </c>
      <c r="Z183" s="382">
        <v>111.31182795698923</v>
      </c>
      <c r="AA183" s="320">
        <v>0.37535125703014083</v>
      </c>
      <c r="AB183" s="20">
        <f t="shared" si="299"/>
        <v>-0.2043641297</v>
      </c>
      <c r="AC183" s="321">
        <f t="shared" si="300"/>
        <v>-2.47210344</v>
      </c>
      <c r="AD183" s="320">
        <v>1.206891740191303</v>
      </c>
      <c r="AE183" s="20" t="str">
        <f t="shared" si="301"/>
        <v>#NUM!</v>
      </c>
      <c r="AF183" s="321">
        <f t="shared" si="302"/>
        <v>-1.964873</v>
      </c>
      <c r="AG183" s="320">
        <v>0.7263865081812106</v>
      </c>
      <c r="AH183" s="20">
        <f t="shared" si="303"/>
        <v>-0.5628624915</v>
      </c>
      <c r="AI183" s="321">
        <f t="shared" si="304"/>
        <v>-2.185373546</v>
      </c>
      <c r="AX183" s="382">
        <v>110.23655913978493</v>
      </c>
      <c r="AY183" s="320">
        <v>0.5006912395731925</v>
      </c>
      <c r="AZ183" s="20">
        <f t="shared" si="305"/>
        <v>-0.3016308141</v>
      </c>
      <c r="BA183" s="321">
        <f t="shared" si="306"/>
        <v>-2.342755656</v>
      </c>
      <c r="BB183" s="320">
        <v>1.0878334307238555</v>
      </c>
      <c r="BC183" s="20" t="str">
        <f t="shared" si="307"/>
        <v>#NUM!</v>
      </c>
      <c r="BD183" s="321">
        <f t="shared" si="308"/>
        <v>-2.005763248</v>
      </c>
      <c r="BE183" s="320">
        <v>0.7384549144366792</v>
      </c>
      <c r="BF183" s="20">
        <f t="shared" si="309"/>
        <v>-0.582453436</v>
      </c>
      <c r="BG183" s="321">
        <f t="shared" si="310"/>
        <v>-2.174001664</v>
      </c>
    </row>
    <row r="184" ht="15.75" hidden="1" customHeight="1">
      <c r="B184" s="319">
        <v>150.0</v>
      </c>
      <c r="C184" s="320">
        <v>0.9119828469515012</v>
      </c>
      <c r="D184" s="20">
        <f t="shared" si="293"/>
        <v>-1.055432683</v>
      </c>
      <c r="E184" s="321">
        <f t="shared" si="294"/>
        <v>-2.216104589</v>
      </c>
      <c r="F184" s="320">
        <v>0.7720781273826135</v>
      </c>
      <c r="G184" s="20">
        <f t="shared" si="295"/>
        <v>-0.6422139956</v>
      </c>
      <c r="H184" s="321">
        <f t="shared" si="296"/>
        <v>-2.28843001</v>
      </c>
      <c r="I184" s="320">
        <v>1.0008010699994638</v>
      </c>
      <c r="J184" s="20" t="str">
        <f t="shared" si="297"/>
        <v>#NUM!</v>
      </c>
      <c r="K184" s="321">
        <f t="shared" si="298"/>
        <v>-2.175743498</v>
      </c>
      <c r="Z184" s="382">
        <v>143.56989247311827</v>
      </c>
      <c r="AA184" s="320">
        <v>0.49414074233316757</v>
      </c>
      <c r="AB184" s="20">
        <f t="shared" si="299"/>
        <v>-0.2959702976</v>
      </c>
      <c r="AC184" s="321">
        <f t="shared" si="300"/>
        <v>-2.463212712</v>
      </c>
      <c r="AD184" s="320">
        <v>1.3355685721799337</v>
      </c>
      <c r="AE184" s="20" t="str">
        <f t="shared" si="301"/>
        <v>#NUM!</v>
      </c>
      <c r="AF184" s="321">
        <f t="shared" si="302"/>
        <v>-2.031397184</v>
      </c>
      <c r="AG184" s="320">
        <v>0.8296239628637947</v>
      </c>
      <c r="AH184" s="20">
        <f t="shared" si="303"/>
        <v>-0.7685914875</v>
      </c>
      <c r="AI184" s="321">
        <f t="shared" si="304"/>
        <v>-2.238182087</v>
      </c>
      <c r="AX184" s="382">
        <v>154.6810035842294</v>
      </c>
      <c r="AY184" s="320">
        <v>0.6906513330110013</v>
      </c>
      <c r="AZ184" s="20">
        <f t="shared" si="305"/>
        <v>-0.5095517511</v>
      </c>
      <c r="BA184" s="321">
        <f t="shared" si="306"/>
        <v>-2.350178127</v>
      </c>
      <c r="BB184" s="320">
        <v>1.1431429285892905</v>
      </c>
      <c r="BC184" s="20" t="str">
        <f t="shared" si="307"/>
        <v>#NUM!</v>
      </c>
      <c r="BD184" s="321">
        <f t="shared" si="308"/>
        <v>-2.131336447</v>
      </c>
      <c r="BE184" s="320">
        <v>0.8029078808349362</v>
      </c>
      <c r="BF184" s="20">
        <f t="shared" si="309"/>
        <v>-0.7053307409</v>
      </c>
      <c r="BG184" s="321">
        <f t="shared" si="310"/>
        <v>-2.28477126</v>
      </c>
    </row>
    <row r="185" ht="15.75" hidden="1" customHeight="1">
      <c r="B185" s="319">
        <v>250.0</v>
      </c>
      <c r="C185" s="322">
        <v>0.9496688741721857</v>
      </c>
      <c r="D185" s="323">
        <f t="shared" si="293"/>
        <v>-1.298163355</v>
      </c>
      <c r="E185" s="324">
        <f t="shared" si="294"/>
        <v>-2.420367805</v>
      </c>
      <c r="F185" s="322">
        <v>0.8464343512769329</v>
      </c>
      <c r="G185" s="323">
        <f t="shared" si="295"/>
        <v>-0.8137059213</v>
      </c>
      <c r="H185" s="324">
        <f t="shared" si="296"/>
        <v>-2.470346728</v>
      </c>
      <c r="I185" s="322">
        <v>0.9435934269561012</v>
      </c>
      <c r="J185" s="323">
        <f t="shared" si="297"/>
        <v>-1.248670285</v>
      </c>
      <c r="K185" s="324">
        <f t="shared" si="298"/>
        <v>-2.423155102</v>
      </c>
      <c r="Z185" s="385">
        <v>211.31182795698925</v>
      </c>
      <c r="AA185" s="322">
        <v>0.6619433739206178</v>
      </c>
      <c r="AB185" s="323">
        <f t="shared" si="299"/>
        <v>-0.4710105473</v>
      </c>
      <c r="AC185" s="324">
        <f t="shared" si="300"/>
        <v>-2.504102968</v>
      </c>
      <c r="AD185" s="322">
        <v>1.545126236571229</v>
      </c>
      <c r="AE185" s="323" t="str">
        <f t="shared" si="301"/>
        <v>#NUM!</v>
      </c>
      <c r="AF185" s="324">
        <f t="shared" si="302"/>
        <v>-2.13595984</v>
      </c>
      <c r="AG185" s="322">
        <v>0.9500068884960868</v>
      </c>
      <c r="AH185" s="323">
        <f t="shared" si="303"/>
        <v>-1.301089833</v>
      </c>
      <c r="AI185" s="324">
        <f t="shared" si="304"/>
        <v>-2.347197053</v>
      </c>
      <c r="AX185" s="385">
        <v>289.44802867383515</v>
      </c>
      <c r="AY185" s="322">
        <v>0.9520184959776864</v>
      </c>
      <c r="AZ185" s="323">
        <f t="shared" si="305"/>
        <v>-1.318926143</v>
      </c>
      <c r="BA185" s="324">
        <f t="shared" si="306"/>
        <v>-2.48292521</v>
      </c>
      <c r="BB185" s="322">
        <v>0.9887502231786464</v>
      </c>
      <c r="BC185" s="323">
        <f t="shared" si="307"/>
        <v>-1.948856093</v>
      </c>
      <c r="BD185" s="324">
        <f t="shared" si="308"/>
        <v>-2.466484002</v>
      </c>
      <c r="BE185" s="322">
        <v>0.965054062720452</v>
      </c>
      <c r="BF185" s="323">
        <f t="shared" si="309"/>
        <v>-1.456603307</v>
      </c>
      <c r="BG185" s="324">
        <f t="shared" si="310"/>
        <v>-2.477018953</v>
      </c>
    </row>
    <row r="186" ht="15.75" hidden="1" customHeight="1">
      <c r="B186" s="319">
        <v>350.0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>
      <c r="B192" s="166" t="s">
        <v>737</v>
      </c>
      <c r="C192" s="167" t="s">
        <v>738</v>
      </c>
      <c r="D192" s="167" t="s">
        <v>739</v>
      </c>
      <c r="E192" s="168" t="s">
        <v>740</v>
      </c>
      <c r="G192" s="166" t="s">
        <v>741</v>
      </c>
      <c r="H192" s="167" t="s">
        <v>742</v>
      </c>
      <c r="I192" s="167" t="s">
        <v>743</v>
      </c>
      <c r="J192" s="168" t="s">
        <v>744</v>
      </c>
      <c r="L192" s="166" t="s">
        <v>745</v>
      </c>
      <c r="M192" s="167" t="s">
        <v>746</v>
      </c>
      <c r="N192" s="167" t="s">
        <v>747</v>
      </c>
      <c r="O192" s="168" t="s">
        <v>748</v>
      </c>
      <c r="Z192" s="166" t="s">
        <v>749</v>
      </c>
      <c r="AA192" s="167" t="s">
        <v>750</v>
      </c>
      <c r="AB192" s="167" t="s">
        <v>751</v>
      </c>
      <c r="AC192" s="168" t="s">
        <v>752</v>
      </c>
      <c r="AE192" s="166" t="s">
        <v>753</v>
      </c>
      <c r="AF192" s="167" t="s">
        <v>754</v>
      </c>
      <c r="AG192" s="167" t="s">
        <v>755</v>
      </c>
      <c r="AH192" s="168" t="s">
        <v>756</v>
      </c>
      <c r="AJ192" s="166" t="s">
        <v>757</v>
      </c>
      <c r="AK192" s="167" t="s">
        <v>758</v>
      </c>
      <c r="AL192" s="167" t="s">
        <v>759</v>
      </c>
      <c r="AM192" s="168" t="s">
        <v>760</v>
      </c>
      <c r="AX192" s="166" t="s">
        <v>761</v>
      </c>
      <c r="AY192" s="167" t="s">
        <v>762</v>
      </c>
      <c r="AZ192" s="167" t="s">
        <v>763</v>
      </c>
      <c r="BA192" s="168" t="s">
        <v>764</v>
      </c>
      <c r="BC192" s="166" t="s">
        <v>765</v>
      </c>
      <c r="BD192" s="167" t="s">
        <v>766</v>
      </c>
      <c r="BE192" s="167" t="s">
        <v>767</v>
      </c>
      <c r="BF192" s="168" t="s">
        <v>768</v>
      </c>
      <c r="BH192" s="166" t="s">
        <v>769</v>
      </c>
      <c r="BI192" s="167" t="s">
        <v>770</v>
      </c>
      <c r="BJ192" s="167" t="s">
        <v>771</v>
      </c>
      <c r="BK192" s="168" t="s">
        <v>772</v>
      </c>
    </row>
    <row r="193" ht="15.75" customHeight="1">
      <c r="B193" s="223">
        <f>1/C193</f>
        <v>-0.2763</v>
      </c>
      <c r="C193" s="402">
        <f>-(1/0.2763)</f>
        <v>-3.619254434</v>
      </c>
      <c r="D193" s="403">
        <f>EXP(-(3.0181/0.2763))</f>
        <v>0.00001803363728</v>
      </c>
      <c r="E193" s="406">
        <v>0.9011</v>
      </c>
      <c r="G193" s="227">
        <f>1/H193</f>
        <v>-0.1438</v>
      </c>
      <c r="H193" s="407">
        <f>-(1/0.1438)</f>
        <v>-6.954102921</v>
      </c>
      <c r="I193" s="409">
        <f>EXP(-(2.6575/0.1438))</f>
        <v>0.000000009419079113</v>
      </c>
      <c r="J193" s="410">
        <v>0.9283</v>
      </c>
      <c r="L193" s="230">
        <f>1/M193</f>
        <v>-0.1822</v>
      </c>
      <c r="M193" s="411">
        <f>-(1/0.1822)</f>
        <v>-5.488474204</v>
      </c>
      <c r="N193" s="412">
        <f>EXP(-(2.2816/0.1822))</f>
        <v>0.00000364372975</v>
      </c>
      <c r="O193" s="105">
        <v>0.8847</v>
      </c>
      <c r="Z193" s="240">
        <v>-0.352</v>
      </c>
      <c r="AA193" s="413">
        <f>-(1/0.352)</f>
        <v>-2.840909091</v>
      </c>
      <c r="AB193" s="414">
        <f>EXP(-(2.9175/0.352))</f>
        <v>0.0002514284071</v>
      </c>
      <c r="AC193" s="415">
        <v>0.9654</v>
      </c>
      <c r="AD193" s="416"/>
      <c r="AE193" s="240">
        <v>-0.1884</v>
      </c>
      <c r="AF193" s="413">
        <f>-(1/0.1884)</f>
        <v>-5.307855626</v>
      </c>
      <c r="AG193" s="417">
        <f>EXP(-(2.9394/0.1884))</f>
        <v>0.0000001675622642</v>
      </c>
      <c r="AH193" s="415">
        <v>0.9452</v>
      </c>
      <c r="AI193" s="416"/>
      <c r="AJ193" s="240">
        <v>-0.2332</v>
      </c>
      <c r="AK193" s="413">
        <f>-(1/0.2332)</f>
        <v>-4.288164666</v>
      </c>
      <c r="AL193" s="418">
        <f>EXP(-(2.558/0.2332))</f>
        <v>0.00001722540525</v>
      </c>
      <c r="AM193" s="415">
        <v>0.8325</v>
      </c>
      <c r="AX193" s="230">
        <v>-0.2795</v>
      </c>
      <c r="AY193" s="411">
        <f>-(1/0.2795)</f>
        <v>-3.577817531</v>
      </c>
      <c r="AZ193" s="419">
        <f>EXP(-(2.9609/0.2795))</f>
        <v>0.00002507698842</v>
      </c>
      <c r="BA193" s="105">
        <v>0.7989</v>
      </c>
      <c r="BC193" s="240">
        <f>-(0.2347)</f>
        <v>-0.2347</v>
      </c>
      <c r="BD193" s="413">
        <f>-(1/(0.2347))</f>
        <v>-4.260758415</v>
      </c>
      <c r="BE193" s="420">
        <f>EXP(-(2.0808/0.2347))</f>
        <v>0.0001411360682</v>
      </c>
      <c r="BF193" s="415">
        <v>0.995</v>
      </c>
      <c r="BH193" s="240">
        <v>-0.0982</v>
      </c>
      <c r="BI193" s="413">
        <f>-(1/0.0982)</f>
        <v>-10.18329939</v>
      </c>
      <c r="BJ193" s="420">
        <f>EXP(-(2.7362/0.0982))</f>
        <v>0</v>
      </c>
      <c r="BK193" s="415">
        <v>0.9935</v>
      </c>
    </row>
    <row r="194" ht="15.75" customHeight="1">
      <c r="B194" s="275" t="s">
        <v>797</v>
      </c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2"/>
      <c r="Z194" s="275" t="s">
        <v>801</v>
      </c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2"/>
      <c r="AX194" s="275" t="s">
        <v>802</v>
      </c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2"/>
    </row>
    <row r="195" ht="15.75" customHeight="1">
      <c r="B195" s="278" t="s">
        <v>229</v>
      </c>
      <c r="C195" s="188"/>
      <c r="D195" s="188"/>
      <c r="E195" s="188"/>
      <c r="F195" s="189"/>
      <c r="G195" s="279" t="s">
        <v>230</v>
      </c>
      <c r="H195" s="91"/>
      <c r="I195" s="91"/>
      <c r="J195" s="91"/>
      <c r="K195" s="92"/>
      <c r="L195" s="278" t="s">
        <v>231</v>
      </c>
      <c r="M195" s="188"/>
      <c r="N195" s="188"/>
      <c r="O195" s="188"/>
      <c r="P195" s="189"/>
      <c r="Z195" s="278" t="s">
        <v>229</v>
      </c>
      <c r="AA195" s="188"/>
      <c r="AB195" s="188"/>
      <c r="AC195" s="188"/>
      <c r="AD195" s="189"/>
      <c r="AE195" s="279" t="s">
        <v>230</v>
      </c>
      <c r="AF195" s="91"/>
      <c r="AG195" s="91"/>
      <c r="AH195" s="91"/>
      <c r="AI195" s="92"/>
      <c r="AJ195" s="278" t="s">
        <v>231</v>
      </c>
      <c r="AK195" s="188"/>
      <c r="AL195" s="188"/>
      <c r="AM195" s="188"/>
      <c r="AN195" s="189"/>
      <c r="AX195" s="278" t="s">
        <v>229</v>
      </c>
      <c r="AY195" s="188"/>
      <c r="AZ195" s="188"/>
      <c r="BA195" s="188"/>
      <c r="BB195" s="189"/>
      <c r="BC195" s="279" t="s">
        <v>230</v>
      </c>
      <c r="BD195" s="91"/>
      <c r="BE195" s="91"/>
      <c r="BF195" s="91"/>
      <c r="BG195" s="92"/>
      <c r="BH195" s="278" t="s">
        <v>231</v>
      </c>
      <c r="BI195" s="188"/>
      <c r="BJ195" s="188"/>
      <c r="BK195" s="188"/>
      <c r="BL195" s="189"/>
    </row>
    <row r="196" ht="15.75" customHeight="1">
      <c r="A196" s="258" t="s">
        <v>168</v>
      </c>
      <c r="B196" s="166" t="s">
        <v>232</v>
      </c>
      <c r="C196" s="167" t="s">
        <v>233</v>
      </c>
      <c r="D196" s="193" t="s">
        <v>323</v>
      </c>
      <c r="E196" s="193" t="s">
        <v>358</v>
      </c>
      <c r="F196" s="168" t="s">
        <v>171</v>
      </c>
      <c r="G196" s="166" t="s">
        <v>232</v>
      </c>
      <c r="H196" s="167" t="s">
        <v>233</v>
      </c>
      <c r="I196" s="167" t="s">
        <v>681</v>
      </c>
      <c r="J196" s="194" t="s">
        <v>411</v>
      </c>
      <c r="K196" s="168" t="s">
        <v>171</v>
      </c>
      <c r="L196" s="166" t="s">
        <v>232</v>
      </c>
      <c r="M196" s="167" t="s">
        <v>233</v>
      </c>
      <c r="N196" s="167" t="s">
        <v>681</v>
      </c>
      <c r="O196" s="167" t="s">
        <v>411</v>
      </c>
      <c r="P196" s="168" t="s">
        <v>171</v>
      </c>
      <c r="Y196" s="258" t="s">
        <v>168</v>
      </c>
      <c r="Z196" s="166" t="s">
        <v>232</v>
      </c>
      <c r="AA196" s="167" t="s">
        <v>233</v>
      </c>
      <c r="AB196" s="193" t="s">
        <v>323</v>
      </c>
      <c r="AC196" s="193" t="s">
        <v>358</v>
      </c>
      <c r="AD196" s="168" t="s">
        <v>171</v>
      </c>
      <c r="AE196" s="166" t="s">
        <v>232</v>
      </c>
      <c r="AF196" s="167" t="s">
        <v>233</v>
      </c>
      <c r="AG196" s="167" t="s">
        <v>681</v>
      </c>
      <c r="AH196" s="194" t="s">
        <v>411</v>
      </c>
      <c r="AI196" s="168" t="s">
        <v>171</v>
      </c>
      <c r="AJ196" s="166" t="s">
        <v>232</v>
      </c>
      <c r="AK196" s="167" t="s">
        <v>233</v>
      </c>
      <c r="AL196" s="167" t="s">
        <v>681</v>
      </c>
      <c r="AM196" s="167" t="s">
        <v>411</v>
      </c>
      <c r="AN196" s="168" t="s">
        <v>171</v>
      </c>
      <c r="AW196" s="258" t="s">
        <v>168</v>
      </c>
      <c r="AX196" s="166" t="s">
        <v>232</v>
      </c>
      <c r="AY196" s="167" t="s">
        <v>233</v>
      </c>
      <c r="AZ196" s="193" t="s">
        <v>323</v>
      </c>
      <c r="BA196" s="193" t="s">
        <v>358</v>
      </c>
      <c r="BB196" s="168" t="s">
        <v>171</v>
      </c>
      <c r="BC196" s="166" t="s">
        <v>232</v>
      </c>
      <c r="BD196" s="167" t="s">
        <v>233</v>
      </c>
      <c r="BE196" s="167" t="s">
        <v>681</v>
      </c>
      <c r="BF196" s="194" t="s">
        <v>411</v>
      </c>
      <c r="BG196" s="168" t="s">
        <v>171</v>
      </c>
      <c r="BH196" s="166" t="s">
        <v>232</v>
      </c>
      <c r="BI196" s="167" t="s">
        <v>233</v>
      </c>
      <c r="BJ196" s="167" t="s">
        <v>681</v>
      </c>
      <c r="BK196" s="167" t="s">
        <v>411</v>
      </c>
      <c r="BL196" s="168" t="s">
        <v>171</v>
      </c>
    </row>
    <row r="197" ht="15.75" customHeight="1">
      <c r="A197" s="196">
        <v>100.0</v>
      </c>
      <c r="B197" s="197">
        <v>1.01</v>
      </c>
      <c r="C197" s="14">
        <v>17.91</v>
      </c>
      <c r="D197" s="11">
        <f t="shared" ref="D197:E197" si="311">LN(B197)</f>
        <v>0.009950330853</v>
      </c>
      <c r="E197" s="11">
        <f t="shared" si="311"/>
        <v>2.885359216</v>
      </c>
      <c r="F197" s="423">
        <f t="shared" ref="F197:F200" si="321">EXP((LN($D$193)-LN(D197))/$C$193)</f>
        <v>5.721984579</v>
      </c>
      <c r="G197" s="198">
        <v>3.4302741358760427</v>
      </c>
      <c r="H197" s="199">
        <v>17.421533571712352</v>
      </c>
      <c r="I197" s="11">
        <f t="shared" ref="I197:J197" si="312">LN(G197)</f>
        <v>1.232640181</v>
      </c>
      <c r="J197" s="11">
        <f t="shared" si="312"/>
        <v>2.857707003</v>
      </c>
      <c r="K197" s="201">
        <f t="shared" ref="K197:K200" si="323">EXP((LN($I$193)-LN(I197))/$H$193)</f>
        <v>14.69602386</v>
      </c>
      <c r="L197" s="151">
        <v>14.455303933253873</v>
      </c>
      <c r="M197" s="11">
        <v>15.216527612236789</v>
      </c>
      <c r="N197" s="11">
        <f t="shared" ref="N197:O197" si="313">LN(L197)</f>
        <v>2.671061401</v>
      </c>
      <c r="O197" s="11">
        <f t="shared" si="313"/>
        <v>2.72238218</v>
      </c>
      <c r="P197" s="260">
        <f t="shared" ref="P197:P200" si="325">EXP((LN($N$193)-LN(N197))/$M$193)</f>
        <v>11.71191984</v>
      </c>
      <c r="Y197" s="196">
        <v>100.0</v>
      </c>
      <c r="Z197" s="198">
        <v>1.05</v>
      </c>
      <c r="AA197" s="199">
        <v>17.9</v>
      </c>
      <c r="AB197" s="11">
        <f t="shared" ref="AB197:AC197" si="314">LN(Z197)</f>
        <v>0.04879016417</v>
      </c>
      <c r="AC197" s="11">
        <f t="shared" si="314"/>
        <v>2.884800713</v>
      </c>
      <c r="AD197" s="423">
        <f t="shared" ref="AD197:AD200" si="327">EXP((LN($AB$193)-LN(AB197))/$AA$193)</f>
        <v>6.387738273</v>
      </c>
      <c r="AE197" s="198">
        <v>1.03</v>
      </c>
      <c r="AF197" s="199">
        <v>17.9</v>
      </c>
      <c r="AG197" s="11">
        <f t="shared" ref="AG197:AH197" si="315">LN(AE197)</f>
        <v>0.02955880224</v>
      </c>
      <c r="AH197" s="11">
        <f t="shared" si="315"/>
        <v>2.884800713</v>
      </c>
      <c r="AI197" s="209">
        <f t="shared" ref="AI197:AI200" si="329">EXP((LN($AG$193)-LN(AG197))/$AF$193)</f>
        <v>9.737390776</v>
      </c>
      <c r="AJ197" s="198">
        <v>5.79141835518474</v>
      </c>
      <c r="AK197" s="199">
        <v>16.9493047278506</v>
      </c>
      <c r="AL197" s="11">
        <f t="shared" ref="AL197:AM197" si="316">LN(AJ197)</f>
        <v>1.756377228</v>
      </c>
      <c r="AM197" s="11">
        <f t="shared" si="316"/>
        <v>2.830226814</v>
      </c>
      <c r="AN197" s="260">
        <f t="shared" ref="AN197:AN200" si="331">EXP((LN($AL$193)-LN(AL197))/$AK$193)</f>
        <v>14.72211328</v>
      </c>
      <c r="AW197" s="196">
        <v>100.0</v>
      </c>
      <c r="AX197" s="151">
        <v>1.7914183551847436</v>
      </c>
      <c r="AY197" s="11">
        <v>17.749304727850614</v>
      </c>
      <c r="AZ197" s="11">
        <f t="shared" ref="AZ197:BA197" si="317">LN(AX197)</f>
        <v>0.5830076833</v>
      </c>
      <c r="BA197" s="11">
        <f t="shared" si="317"/>
        <v>2.876346345</v>
      </c>
      <c r="BB197" s="201">
        <f t="shared" ref="BB197:BB200" si="333">EXP((LN($AZ$193)-LN(AZ197))/$AY$193)</f>
        <v>16.6114863</v>
      </c>
      <c r="BC197" s="198">
        <v>14.902264600715139</v>
      </c>
      <c r="BD197" s="199">
        <v>15.127135478744535</v>
      </c>
      <c r="BE197" s="11">
        <f t="shared" ref="BE197:BF197" si="318">LN(BC197)</f>
        <v>2.701513188</v>
      </c>
      <c r="BF197" s="11">
        <f t="shared" si="318"/>
        <v>2.716490183</v>
      </c>
      <c r="BG197" s="209">
        <f t="shared" ref="BG197:BG200" si="335">EXP((LN($BE$193)-LN(BE197))/$BD$193)</f>
        <v>10.11528544</v>
      </c>
      <c r="BH197" s="151">
        <v>3.4302741358760436</v>
      </c>
      <c r="BI197" s="11">
        <v>17.421533571712352</v>
      </c>
      <c r="BJ197" s="11">
        <f t="shared" ref="BJ197:BK197" si="319">LN(BH197)</f>
        <v>1.232640181</v>
      </c>
      <c r="BK197" s="11">
        <f t="shared" si="319"/>
        <v>2.857707003</v>
      </c>
      <c r="BL197" s="209">
        <f t="shared" ref="BL197:BL200" si="337">EXP((LN($BJ$193)-LN(BJ197))/$BI$193)</f>
        <v>15.7484091</v>
      </c>
    </row>
    <row r="198" ht="15.75" customHeight="1">
      <c r="A198" s="196">
        <v>200.0</v>
      </c>
      <c r="B198" s="151">
        <v>4.32419547079857</v>
      </c>
      <c r="C198" s="11">
        <v>38.77632101708383</v>
      </c>
      <c r="D198" s="11">
        <f t="shared" ref="D198:E198" si="320">LN(B198)</f>
        <v>1.464226105</v>
      </c>
      <c r="E198" s="11">
        <f t="shared" si="320"/>
        <v>3.657809777</v>
      </c>
      <c r="F198" s="201">
        <f t="shared" si="321"/>
        <v>22.72488564</v>
      </c>
      <c r="G198" s="198">
        <v>77.77473182359952</v>
      </c>
      <c r="H198" s="199">
        <v>24.08621374652364</v>
      </c>
      <c r="I198" s="11">
        <f t="shared" ref="I198:J198" si="322">LN(G198)</f>
        <v>4.353816595</v>
      </c>
      <c r="J198" s="11">
        <f t="shared" si="322"/>
        <v>3.181639633</v>
      </c>
      <c r="K198" s="201">
        <f t="shared" si="323"/>
        <v>17.62004894</v>
      </c>
      <c r="L198" s="151">
        <v>77.17878426698451</v>
      </c>
      <c r="M198" s="11">
        <v>24.20540325784664</v>
      </c>
      <c r="N198" s="11">
        <f t="shared" ref="N198:O198" si="324">LN(L198)</f>
        <v>4.346124604</v>
      </c>
      <c r="O198" s="11">
        <f t="shared" si="324"/>
        <v>3.186575883</v>
      </c>
      <c r="P198" s="260">
        <f t="shared" si="325"/>
        <v>12.7981886</v>
      </c>
      <c r="Y198" s="196">
        <v>200.0</v>
      </c>
      <c r="Z198" s="151">
        <v>5.814064362336113</v>
      </c>
      <c r="AA198" s="11">
        <v>38.47834723877632</v>
      </c>
      <c r="AB198" s="11">
        <f t="shared" ref="AB198:AC198" si="326">LN(Z198)</f>
        <v>1.760279872</v>
      </c>
      <c r="AC198" s="11">
        <f t="shared" si="326"/>
        <v>3.650095674</v>
      </c>
      <c r="AD198" s="263">
        <f t="shared" si="327"/>
        <v>22.5683037</v>
      </c>
      <c r="AE198" s="151">
        <v>16.392133492252682</v>
      </c>
      <c r="AF198" s="11">
        <v>36.36273341279301</v>
      </c>
      <c r="AG198" s="11">
        <f t="shared" ref="AG198:AH198" si="328">LN(AE198)</f>
        <v>2.796801555</v>
      </c>
      <c r="AH198" s="11">
        <f t="shared" si="328"/>
        <v>3.593544443</v>
      </c>
      <c r="AI198" s="209">
        <f t="shared" si="329"/>
        <v>22.94648958</v>
      </c>
      <c r="AJ198" s="198">
        <v>19.073897497020262</v>
      </c>
      <c r="AK198" s="210">
        <v>32.25474771553428</v>
      </c>
      <c r="AL198" s="11">
        <f t="shared" ref="AL198:AM198" si="330">LN(AJ198)</f>
        <v>2.948320777</v>
      </c>
      <c r="AM198" s="11">
        <f t="shared" si="330"/>
        <v>3.473665248</v>
      </c>
      <c r="AN198" s="260">
        <f t="shared" si="331"/>
        <v>16.61231327</v>
      </c>
      <c r="AW198" s="196">
        <v>200.0</v>
      </c>
      <c r="AX198" s="151">
        <v>4.3241954707985695</v>
      </c>
      <c r="AY198" s="11">
        <v>38.77632101708383</v>
      </c>
      <c r="AZ198" s="11">
        <f t="shared" ref="AZ198:BA198" si="332">LN(AX198)</f>
        <v>1.464226105</v>
      </c>
      <c r="BA198" s="11">
        <f t="shared" si="332"/>
        <v>3.657809777</v>
      </c>
      <c r="BB198" s="201">
        <f t="shared" si="333"/>
        <v>21.48770377</v>
      </c>
      <c r="BC198" s="198">
        <v>97.14302741358762</v>
      </c>
      <c r="BD198" s="210">
        <v>23.0</v>
      </c>
      <c r="BE198" s="11">
        <f t="shared" ref="BE198:BF198" si="334">LN(BC198)</f>
        <v>4.576184402</v>
      </c>
      <c r="BF198" s="11">
        <f t="shared" si="334"/>
        <v>3.135494216</v>
      </c>
      <c r="BG198" s="209">
        <f t="shared" si="335"/>
        <v>11.44722274</v>
      </c>
      <c r="BH198" s="151">
        <v>78.8176400476758</v>
      </c>
      <c r="BI198" s="11">
        <v>23.877632101708386</v>
      </c>
      <c r="BJ198" s="11">
        <f t="shared" ref="BJ198:BK198" si="336">LN(BH198)</f>
        <v>4.36713683</v>
      </c>
      <c r="BK198" s="11">
        <f t="shared" si="336"/>
        <v>3.172942125</v>
      </c>
      <c r="BL198" s="209">
        <f t="shared" si="337"/>
        <v>17.83133614</v>
      </c>
    </row>
    <row r="199" ht="15.75" customHeight="1">
      <c r="A199" s="196">
        <v>300.0</v>
      </c>
      <c r="B199" s="151">
        <v>32.33373063170441</v>
      </c>
      <c r="C199" s="11">
        <v>48.013508144616594</v>
      </c>
      <c r="D199" s="11">
        <f t="shared" ref="D199:E199" si="338">LN(B199)</f>
        <v>3.476110977</v>
      </c>
      <c r="E199" s="11">
        <f t="shared" si="338"/>
        <v>3.871482391</v>
      </c>
      <c r="F199" s="201">
        <f t="shared" si="321"/>
        <v>28.85681177</v>
      </c>
      <c r="G199" s="198">
        <v>128.2812872467223</v>
      </c>
      <c r="H199" s="199">
        <v>28.823996821613022</v>
      </c>
      <c r="I199" s="11">
        <f t="shared" ref="I199:J199" si="339">LN(G199)</f>
        <v>4.854225409</v>
      </c>
      <c r="J199" s="11">
        <f t="shared" si="339"/>
        <v>3.361208263</v>
      </c>
      <c r="K199" s="201">
        <f t="shared" si="323"/>
        <v>17.89788169</v>
      </c>
      <c r="L199" s="151">
        <v>150.1823599523242</v>
      </c>
      <c r="M199" s="11">
        <v>24.4437822804926</v>
      </c>
      <c r="N199" s="11">
        <f t="shared" ref="N199:O199" si="340">LN(L199)</f>
        <v>5.011850289</v>
      </c>
      <c r="O199" s="11">
        <f t="shared" si="340"/>
        <v>3.19637588</v>
      </c>
      <c r="P199" s="260">
        <f t="shared" si="325"/>
        <v>13.13487493</v>
      </c>
      <c r="Y199" s="196">
        <v>300.0</v>
      </c>
      <c r="Z199" s="151">
        <v>26.67222884386174</v>
      </c>
      <c r="AA199" s="11">
        <v>52.0</v>
      </c>
      <c r="AB199" s="11">
        <f t="shared" ref="AB199:AC199" si="341">LN(Z199)</f>
        <v>3.283622906</v>
      </c>
      <c r="AC199" s="11">
        <f t="shared" si="341"/>
        <v>3.951243719</v>
      </c>
      <c r="AD199" s="263">
        <f t="shared" si="327"/>
        <v>28.10674181</v>
      </c>
      <c r="AE199" s="151">
        <v>61.68414779499404</v>
      </c>
      <c r="AF199" s="11">
        <v>42.14342471195867</v>
      </c>
      <c r="AG199" s="11">
        <f t="shared" ref="AG199:AH199" si="342">LN(AE199)</f>
        <v>4.122026974</v>
      </c>
      <c r="AH199" s="11">
        <f t="shared" si="342"/>
        <v>3.741078675</v>
      </c>
      <c r="AI199" s="209">
        <f t="shared" si="329"/>
        <v>24.68607706</v>
      </c>
      <c r="AJ199" s="198">
        <v>111.127532777116</v>
      </c>
      <c r="AK199" s="211">
        <v>35.83</v>
      </c>
      <c r="AL199" s="11">
        <f t="shared" ref="AL199:AM199" si="343">LN(AJ199)</f>
        <v>4.710678486</v>
      </c>
      <c r="AM199" s="11">
        <f t="shared" si="343"/>
        <v>3.578785531</v>
      </c>
      <c r="AN199" s="260">
        <f t="shared" si="331"/>
        <v>18.53055165</v>
      </c>
      <c r="AW199" s="196">
        <v>300.0</v>
      </c>
      <c r="AX199" s="151">
        <v>22.351609058402857</v>
      </c>
      <c r="AY199" s="11">
        <v>50.00993245927691</v>
      </c>
      <c r="AZ199" s="11">
        <f t="shared" ref="AZ199:BA199" si="344">LN(AX199)</f>
        <v>3.106898312</v>
      </c>
      <c r="BA199" s="11">
        <f t="shared" si="344"/>
        <v>3.912221635</v>
      </c>
      <c r="BB199" s="201">
        <f t="shared" si="333"/>
        <v>26.51599564</v>
      </c>
      <c r="BC199" s="198">
        <v>141.0</v>
      </c>
      <c r="BD199" s="199">
        <v>26.28025427095748</v>
      </c>
      <c r="BE199" s="11">
        <f t="shared" ref="BE199:BF199" si="345">LN(BC199)</f>
        <v>4.94875989</v>
      </c>
      <c r="BF199" s="11">
        <f t="shared" si="345"/>
        <v>3.268817869</v>
      </c>
      <c r="BG199" s="209">
        <f t="shared" si="335"/>
        <v>11.65945522</v>
      </c>
      <c r="BH199" s="151">
        <v>148.99046483909416</v>
      </c>
      <c r="BI199" s="11">
        <v>24.68216130313865</v>
      </c>
      <c r="BJ199" s="11">
        <f t="shared" ref="BJ199:BK199" si="346">LN(BH199)</f>
        <v>5.00388231</v>
      </c>
      <c r="BK199" s="11">
        <f t="shared" si="346"/>
        <v>3.206080768</v>
      </c>
      <c r="BL199" s="209">
        <f t="shared" si="337"/>
        <v>18.07126345</v>
      </c>
    </row>
    <row r="200" ht="15.75" customHeight="1">
      <c r="A200" s="212">
        <v>400.0</v>
      </c>
      <c r="B200" s="213">
        <v>54.085816448152556</v>
      </c>
      <c r="C200" s="214">
        <v>62.038140643623365</v>
      </c>
      <c r="D200" s="11">
        <f t="shared" ref="D200:E200" si="347">LN(B200)</f>
        <v>3.990571979</v>
      </c>
      <c r="E200" s="11">
        <f t="shared" si="347"/>
        <v>4.127749368</v>
      </c>
      <c r="F200" s="376">
        <f t="shared" si="321"/>
        <v>29.97851992</v>
      </c>
      <c r="G200" s="215">
        <v>200.0</v>
      </c>
      <c r="H200" s="210">
        <v>32.86</v>
      </c>
      <c r="I200" s="11">
        <f t="shared" ref="I200:J200" si="348">LN(G200)</f>
        <v>5.298317367</v>
      </c>
      <c r="J200" s="11">
        <f t="shared" si="348"/>
        <v>3.492256113</v>
      </c>
      <c r="K200" s="201">
        <f t="shared" si="323"/>
        <v>18.12460813</v>
      </c>
      <c r="L200" s="213">
        <v>240.17044100119188</v>
      </c>
      <c r="M200" s="214">
        <v>24.8212157330155</v>
      </c>
      <c r="N200" s="11">
        <f t="shared" ref="N200:O200" si="349">LN(L200)</f>
        <v>5.481348842</v>
      </c>
      <c r="O200" s="11">
        <f t="shared" si="349"/>
        <v>3.211698761</v>
      </c>
      <c r="P200" s="267">
        <f t="shared" si="325"/>
        <v>13.35093194</v>
      </c>
      <c r="Y200" s="212">
        <v>400.0</v>
      </c>
      <c r="Z200" s="217">
        <v>32.0</v>
      </c>
      <c r="AA200" s="218">
        <v>66.46</v>
      </c>
      <c r="AB200" s="11">
        <f t="shared" ref="AB200:AC200" si="350">LN(Z200)</f>
        <v>3.465735903</v>
      </c>
      <c r="AC200" s="11">
        <f t="shared" si="350"/>
        <v>4.196600263</v>
      </c>
      <c r="AD200" s="268">
        <f t="shared" si="327"/>
        <v>28.64587911</v>
      </c>
      <c r="AE200" s="219">
        <v>144.22288438617403</v>
      </c>
      <c r="AF200" s="214">
        <v>44.01072705601908</v>
      </c>
      <c r="AG200" s="11">
        <f t="shared" ref="AG200:AH200" si="351">LN(AE200)</f>
        <v>4.971359911</v>
      </c>
      <c r="AH200" s="11">
        <f t="shared" si="351"/>
        <v>3.784433401</v>
      </c>
      <c r="AI200" s="424">
        <f t="shared" si="329"/>
        <v>25.57296763</v>
      </c>
      <c r="AJ200" s="219">
        <v>150.0</v>
      </c>
      <c r="AK200" s="210">
        <v>41.0</v>
      </c>
      <c r="AL200" s="11">
        <f t="shared" ref="AL200:AM200" si="352">LN(AJ200)</f>
        <v>5.010635294</v>
      </c>
      <c r="AM200" s="11">
        <f t="shared" si="352"/>
        <v>3.713572067</v>
      </c>
      <c r="AN200" s="260">
        <f t="shared" si="331"/>
        <v>18.79923964</v>
      </c>
      <c r="AW200" s="212">
        <v>400.0</v>
      </c>
      <c r="AX200" s="219">
        <v>76.880810488677</v>
      </c>
      <c r="AY200" s="214">
        <v>57.479141835518476</v>
      </c>
      <c r="AZ200" s="11">
        <f t="shared" ref="AZ200:BA200" si="353">LN(AX200)</f>
        <v>4.342256307</v>
      </c>
      <c r="BA200" s="11">
        <f t="shared" si="353"/>
        <v>4.051422131</v>
      </c>
      <c r="BB200" s="201">
        <f t="shared" si="333"/>
        <v>29.11682398</v>
      </c>
      <c r="BC200" s="219">
        <v>214.5</v>
      </c>
      <c r="BD200" s="220">
        <v>28.0</v>
      </c>
      <c r="BE200" s="11">
        <f t="shared" ref="BE200:BF200" si="354">LN(BC200)</f>
        <v>5.368309738</v>
      </c>
      <c r="BF200" s="11">
        <f t="shared" si="354"/>
        <v>3.33220451</v>
      </c>
      <c r="BG200" s="209">
        <f t="shared" si="335"/>
        <v>11.88427888</v>
      </c>
      <c r="BH200" s="152">
        <v>249.8545887961859</v>
      </c>
      <c r="BI200" s="153">
        <v>26.8843861740167</v>
      </c>
      <c r="BJ200" s="218">
        <f t="shared" ref="BJ200:BK200" si="355">LN(BH200)</f>
        <v>5.520879104</v>
      </c>
      <c r="BK200" s="218">
        <f t="shared" si="355"/>
        <v>3.291545678</v>
      </c>
      <c r="BL200" s="209">
        <f t="shared" si="337"/>
        <v>18.24659238</v>
      </c>
    </row>
    <row r="201" ht="15.75" customHeight="1">
      <c r="A201" s="5"/>
      <c r="B201" s="141"/>
      <c r="C201" s="141"/>
      <c r="D201" s="141"/>
      <c r="E201" s="141"/>
      <c r="G201" s="141"/>
      <c r="H201" s="141"/>
      <c r="I201" s="65"/>
      <c r="J201" s="65"/>
      <c r="L201" s="141"/>
      <c r="M201" s="141"/>
      <c r="N201" s="65"/>
      <c r="O201" s="65"/>
      <c r="Y201" s="5"/>
      <c r="Z201" s="141"/>
      <c r="AA201" s="141"/>
      <c r="AB201" s="65"/>
      <c r="AC201" s="65"/>
      <c r="AD201" s="141"/>
      <c r="AE201" s="141"/>
      <c r="AF201" s="65"/>
      <c r="AG201" s="65"/>
      <c r="AH201" s="141"/>
      <c r="AI201" s="141"/>
      <c r="AJ201" s="65"/>
      <c r="AK201" s="65"/>
      <c r="AW201" s="5"/>
      <c r="AX201" s="141"/>
      <c r="AY201" s="141"/>
      <c r="AZ201" s="65"/>
      <c r="BA201" s="65"/>
      <c r="BB201" s="141"/>
      <c r="BC201" s="141"/>
      <c r="BD201" s="65"/>
      <c r="BE201" s="65"/>
      <c r="BF201" s="141"/>
      <c r="BG201" s="141"/>
      <c r="BH201" s="65"/>
      <c r="BI201" s="65"/>
    </row>
    <row r="202" ht="15.75" customHeight="1">
      <c r="A202" s="5"/>
      <c r="B202" s="141"/>
      <c r="C202" s="141"/>
      <c r="D202" s="141"/>
      <c r="E202" s="141"/>
      <c r="G202" s="141"/>
      <c r="H202" s="141"/>
      <c r="I202" s="65"/>
      <c r="J202" s="65"/>
      <c r="L202" s="141"/>
      <c r="M202" s="141"/>
      <c r="N202" s="65"/>
      <c r="O202" s="65"/>
      <c r="Y202" s="5"/>
      <c r="Z202" s="141"/>
      <c r="AA202" s="141"/>
      <c r="AB202" s="65"/>
      <c r="AC202" s="65"/>
      <c r="AD202" s="141"/>
      <c r="AE202" s="141"/>
      <c r="AF202" s="65"/>
      <c r="AG202" s="65"/>
      <c r="AH202" s="141"/>
      <c r="AI202" s="141"/>
      <c r="AJ202" s="65"/>
      <c r="AK202" s="65"/>
      <c r="AW202" s="5"/>
      <c r="AX202" s="141"/>
      <c r="AY202" s="141"/>
      <c r="AZ202" s="65"/>
      <c r="BA202" s="65"/>
      <c r="BB202" s="141"/>
      <c r="BC202" s="141"/>
      <c r="BD202" s="65"/>
      <c r="BE202" s="65"/>
      <c r="BF202" s="141"/>
      <c r="BG202" s="141"/>
      <c r="BH202" s="65"/>
      <c r="BI202" s="65"/>
    </row>
    <row r="203" ht="15.75" customHeight="1"/>
    <row r="204" ht="15.75" customHeight="1"/>
    <row r="205" ht="15.75" hidden="1" customHeight="1"/>
    <row r="206" ht="15.75" hidden="1" customHeight="1"/>
    <row r="207" ht="15.75" hidden="1" customHeight="1">
      <c r="B207" s="191" t="s">
        <v>804</v>
      </c>
      <c r="C207" s="91"/>
      <c r="D207" s="91"/>
      <c r="E207" s="91"/>
      <c r="F207" s="91"/>
      <c r="G207" s="91"/>
      <c r="H207" s="91"/>
      <c r="I207" s="91"/>
      <c r="J207" s="92"/>
      <c r="Z207" s="191" t="s">
        <v>805</v>
      </c>
      <c r="AA207" s="91"/>
      <c r="AB207" s="91"/>
      <c r="AC207" s="91"/>
      <c r="AD207" s="91"/>
      <c r="AE207" s="91"/>
      <c r="AF207" s="91"/>
      <c r="AG207" s="91"/>
      <c r="AH207" s="92"/>
      <c r="AX207" s="191" t="s">
        <v>806</v>
      </c>
      <c r="AY207" s="91"/>
      <c r="AZ207" s="91"/>
      <c r="BA207" s="91"/>
      <c r="BB207" s="91"/>
      <c r="BC207" s="91"/>
      <c r="BD207" s="91"/>
      <c r="BE207" s="91"/>
      <c r="BF207" s="92"/>
    </row>
    <row r="208" ht="15.75" hidden="1" customHeight="1">
      <c r="B208" s="315" t="s">
        <v>229</v>
      </c>
      <c r="C208" s="314"/>
      <c r="D208" s="234"/>
      <c r="E208" s="187" t="s">
        <v>230</v>
      </c>
      <c r="F208" s="188"/>
      <c r="G208" s="189"/>
      <c r="H208" s="187" t="s">
        <v>231</v>
      </c>
      <c r="I208" s="188"/>
      <c r="J208" s="189"/>
      <c r="Z208" s="315" t="s">
        <v>229</v>
      </c>
      <c r="AA208" s="314"/>
      <c r="AB208" s="234"/>
      <c r="AC208" s="187" t="s">
        <v>230</v>
      </c>
      <c r="AD208" s="188"/>
      <c r="AE208" s="189"/>
      <c r="AF208" s="187" t="s">
        <v>231</v>
      </c>
      <c r="AG208" s="188"/>
      <c r="AH208" s="189"/>
      <c r="AX208" s="315" t="s">
        <v>229</v>
      </c>
      <c r="AY208" s="314"/>
      <c r="AZ208" s="234"/>
      <c r="BA208" s="187" t="s">
        <v>230</v>
      </c>
      <c r="BB208" s="188"/>
      <c r="BC208" s="189"/>
      <c r="BD208" s="187" t="s">
        <v>231</v>
      </c>
      <c r="BE208" s="188"/>
      <c r="BF208" s="189"/>
    </row>
    <row r="209" ht="15.75" hidden="1" customHeight="1">
      <c r="A209" s="258" t="s">
        <v>168</v>
      </c>
      <c r="B209" s="317" t="s">
        <v>232</v>
      </c>
      <c r="C209" s="50" t="s">
        <v>233</v>
      </c>
      <c r="D209" s="318" t="s">
        <v>682</v>
      </c>
      <c r="E209" s="317" t="s">
        <v>232</v>
      </c>
      <c r="F209" s="50" t="s">
        <v>233</v>
      </c>
      <c r="G209" s="318" t="s">
        <v>682</v>
      </c>
      <c r="H209" s="317" t="s">
        <v>232</v>
      </c>
      <c r="I209" s="50" t="s">
        <v>233</v>
      </c>
      <c r="J209" s="318" t="s">
        <v>682</v>
      </c>
      <c r="Y209" s="258" t="s">
        <v>168</v>
      </c>
      <c r="Z209" s="317" t="s">
        <v>232</v>
      </c>
      <c r="AA209" s="50" t="s">
        <v>233</v>
      </c>
      <c r="AB209" s="318" t="s">
        <v>682</v>
      </c>
      <c r="AC209" s="317" t="s">
        <v>232</v>
      </c>
      <c r="AD209" s="50" t="s">
        <v>233</v>
      </c>
      <c r="AE209" s="318" t="s">
        <v>682</v>
      </c>
      <c r="AF209" s="317" t="s">
        <v>232</v>
      </c>
      <c r="AG209" s="50" t="s">
        <v>233</v>
      </c>
      <c r="AH209" s="318" t="s">
        <v>682</v>
      </c>
      <c r="AW209" s="258" t="s">
        <v>168</v>
      </c>
      <c r="AX209" s="317" t="s">
        <v>232</v>
      </c>
      <c r="AY209" s="50" t="s">
        <v>233</v>
      </c>
      <c r="AZ209" s="318" t="s">
        <v>682</v>
      </c>
      <c r="BA209" s="317" t="s">
        <v>232</v>
      </c>
      <c r="BB209" s="50" t="s">
        <v>233</v>
      </c>
      <c r="BC209" s="318" t="s">
        <v>682</v>
      </c>
      <c r="BD209" s="317" t="s">
        <v>232</v>
      </c>
      <c r="BE209" s="50" t="s">
        <v>233</v>
      </c>
      <c r="BF209" s="318" t="s">
        <v>682</v>
      </c>
    </row>
    <row r="210" ht="15.75" hidden="1" customHeight="1">
      <c r="A210" s="319">
        <v>50.0</v>
      </c>
      <c r="B210" s="320">
        <v>2.5304659498207887</v>
      </c>
      <c r="C210" s="20">
        <v>8.448130922589387</v>
      </c>
      <c r="D210" s="321">
        <f t="shared" ref="D210:D214" si="356">LN(B210/C210)</f>
        <v>-1.205541769</v>
      </c>
      <c r="E210" s="320">
        <v>27.6200716845878</v>
      </c>
      <c r="F210" s="20">
        <v>5.050890008015365</v>
      </c>
      <c r="G210" s="321">
        <f t="shared" ref="G210:G214" si="357">LN(E210/F210)</f>
        <v>1.698978276</v>
      </c>
      <c r="H210" s="320">
        <v>12.924731182795696</v>
      </c>
      <c r="I210" s="20">
        <v>6.994899069379541</v>
      </c>
      <c r="J210" s="321">
        <f t="shared" ref="J210:J214" si="358">LN(H210/I210)</f>
        <v>0.6139614429</v>
      </c>
      <c r="Y210" s="319">
        <v>50.0</v>
      </c>
      <c r="Z210" s="151">
        <v>4.681003584229391</v>
      </c>
      <c r="AA210" s="11">
        <v>6.601273545336687</v>
      </c>
      <c r="AB210" s="321">
        <f t="shared" ref="AB210:AB214" si="359">LN(Z210/AA210)</f>
        <v>-0.3437500638</v>
      </c>
      <c r="AC210" s="353">
        <v>7.548387096774192</v>
      </c>
      <c r="AD210" s="11">
        <v>6.197318057836213</v>
      </c>
      <c r="AE210" s="321">
        <f t="shared" ref="AE210:AE214" si="360">LN(AC210/AD210)</f>
        <v>0.1972172837</v>
      </c>
      <c r="AF210" s="151">
        <v>15.97132616487455</v>
      </c>
      <c r="AG210" s="11">
        <v>5.075859199580501</v>
      </c>
      <c r="AH210" s="321">
        <f t="shared" ref="AH210:AH214" si="361">LN(AF210/AG210)</f>
        <v>1.146299189</v>
      </c>
      <c r="AW210" s="319">
        <v>50.0</v>
      </c>
      <c r="AX210" s="151">
        <v>2.351254480286738</v>
      </c>
      <c r="AY210" s="11">
        <v>7.230123505633468</v>
      </c>
      <c r="AZ210" s="321">
        <f t="shared" ref="AZ210:AZ214" si="362">LN(AX210/AY210)</f>
        <v>-1.123307111</v>
      </c>
      <c r="BA210" s="353">
        <v>9.519713261648745</v>
      </c>
      <c r="BB210" s="11">
        <v>6.326509740684451</v>
      </c>
      <c r="BC210" s="321">
        <f t="shared" ref="BC210:BC214" si="363">LN(BA210/BB210)</f>
        <v>0.4086160285</v>
      </c>
      <c r="BD210" s="151">
        <v>5.577060931899641</v>
      </c>
      <c r="BE210" s="11">
        <v>6.836149120802889</v>
      </c>
      <c r="BF210" s="321">
        <f t="shared" ref="BF210:BF214" si="364">LN(BD210/BE210)</f>
        <v>-0.2035626561</v>
      </c>
    </row>
    <row r="211" ht="15.75" hidden="1" customHeight="1">
      <c r="A211" s="319">
        <v>75.0</v>
      </c>
      <c r="B211" s="320">
        <v>2.3512544802867383</v>
      </c>
      <c r="C211" s="20">
        <v>13.04230785167831</v>
      </c>
      <c r="D211" s="321">
        <f t="shared" si="356"/>
        <v>-1.713249516</v>
      </c>
      <c r="E211" s="320">
        <v>57.189964157706086</v>
      </c>
      <c r="F211" s="20">
        <v>5.612546856856714</v>
      </c>
      <c r="G211" s="321">
        <f t="shared" si="357"/>
        <v>2.32137383</v>
      </c>
      <c r="H211" s="320">
        <v>32.63799283154122</v>
      </c>
      <c r="I211" s="20">
        <v>8.833198692120565</v>
      </c>
      <c r="J211" s="321">
        <f t="shared" si="358"/>
        <v>1.306959832</v>
      </c>
      <c r="Y211" s="319">
        <v>75.0</v>
      </c>
      <c r="Z211" s="151">
        <v>4.860215053763441</v>
      </c>
      <c r="AA211" s="11">
        <v>10.772858799528137</v>
      </c>
      <c r="AB211" s="321">
        <f t="shared" si="359"/>
        <v>-0.7959472103</v>
      </c>
      <c r="AC211" s="353">
        <v>16.688172043010752</v>
      </c>
      <c r="AD211" s="11">
        <v>9.218974999260887</v>
      </c>
      <c r="AE211" s="321">
        <f t="shared" si="360"/>
        <v>0.5934363476</v>
      </c>
      <c r="AF211" s="151">
        <v>32.817204301075265</v>
      </c>
      <c r="AG211" s="11">
        <v>7.046960748799184</v>
      </c>
      <c r="AH211" s="321">
        <f t="shared" si="361"/>
        <v>1.538356475</v>
      </c>
      <c r="AW211" s="319">
        <v>75.0</v>
      </c>
      <c r="AX211" s="151">
        <v>2.5304659498207887</v>
      </c>
      <c r="AY211" s="11">
        <v>11.019271082905224</v>
      </c>
      <c r="AZ211" s="321">
        <f t="shared" si="362"/>
        <v>-1.471242201</v>
      </c>
      <c r="BA211" s="353">
        <v>21.34767025089606</v>
      </c>
      <c r="BB211" s="11">
        <v>8.482348979232412</v>
      </c>
      <c r="BC211" s="321">
        <f t="shared" si="363"/>
        <v>0.9229551983</v>
      </c>
      <c r="BD211" s="151">
        <v>9.519713261648743</v>
      </c>
      <c r="BE211" s="11">
        <v>11.249502421847936</v>
      </c>
      <c r="BF211" s="321">
        <f t="shared" si="364"/>
        <v>-0.1669591697</v>
      </c>
    </row>
    <row r="212" ht="15.75" hidden="1" customHeight="1">
      <c r="A212" s="319">
        <v>100.0</v>
      </c>
      <c r="B212" s="320">
        <v>6.831541218637992</v>
      </c>
      <c r="C212" s="20">
        <v>14.567819227317436</v>
      </c>
      <c r="D212" s="321">
        <f t="shared" si="356"/>
        <v>-0.7572646311</v>
      </c>
      <c r="E212" s="320">
        <v>65.0</v>
      </c>
      <c r="F212" s="20">
        <v>7.0</v>
      </c>
      <c r="G212" s="321">
        <f t="shared" si="357"/>
        <v>2.228477121</v>
      </c>
      <c r="H212" s="320">
        <v>38.19354838709677</v>
      </c>
      <c r="I212" s="20">
        <v>10.49759050607947</v>
      </c>
      <c r="J212" s="321">
        <f t="shared" si="358"/>
        <v>1.291520856</v>
      </c>
      <c r="Y212" s="319">
        <v>100.0</v>
      </c>
      <c r="Z212" s="151">
        <v>5.935483870967742</v>
      </c>
      <c r="AA212" s="11">
        <v>13.901898408523735</v>
      </c>
      <c r="AB212" s="321">
        <f t="shared" si="359"/>
        <v>-0.8510768538</v>
      </c>
      <c r="AC212" s="353">
        <v>26.00716845878136</v>
      </c>
      <c r="AD212" s="11">
        <v>11.206051440959174</v>
      </c>
      <c r="AE212" s="321">
        <f t="shared" si="360"/>
        <v>0.8419182704</v>
      </c>
      <c r="AF212" s="151">
        <v>52.35125448028673</v>
      </c>
      <c r="AG212" s="11">
        <v>7.793846654304835</v>
      </c>
      <c r="AH212" s="321">
        <f t="shared" si="361"/>
        <v>1.904641368</v>
      </c>
      <c r="AW212" s="319">
        <v>100.0</v>
      </c>
      <c r="AX212" s="151">
        <v>2.8888888888888884</v>
      </c>
      <c r="AY212" s="11">
        <v>14.143820326926342</v>
      </c>
      <c r="AZ212" s="321">
        <f t="shared" si="362"/>
        <v>-1.588405842</v>
      </c>
      <c r="BA212" s="353">
        <v>31.025089605734763</v>
      </c>
      <c r="BB212" s="11">
        <v>10.459936833883226</v>
      </c>
      <c r="BC212" s="321">
        <f t="shared" si="363"/>
        <v>1.087243799</v>
      </c>
      <c r="BD212" s="151">
        <v>15.97132616487455</v>
      </c>
      <c r="BE212" s="11">
        <v>12.43190091644241</v>
      </c>
      <c r="BF212" s="321">
        <f t="shared" si="364"/>
        <v>0.2505291762</v>
      </c>
    </row>
    <row r="213" ht="15.75" hidden="1" customHeight="1">
      <c r="A213" s="319">
        <v>150.0</v>
      </c>
      <c r="B213" s="320">
        <v>12.387096774193548</v>
      </c>
      <c r="C213" s="20">
        <v>19.079139057562784</v>
      </c>
      <c r="D213" s="321">
        <f t="shared" si="356"/>
        <v>-0.4319401941</v>
      </c>
      <c r="E213" s="320">
        <v>100.55913978494621</v>
      </c>
      <c r="F213" s="20">
        <v>7.168784841064191</v>
      </c>
      <c r="G213" s="321">
        <f t="shared" si="357"/>
        <v>2.641009848</v>
      </c>
      <c r="H213" s="320">
        <v>73.49820788530465</v>
      </c>
      <c r="I213" s="20">
        <v>10.738208905573646</v>
      </c>
      <c r="J213" s="321">
        <f t="shared" si="358"/>
        <v>1.923452717</v>
      </c>
      <c r="Y213" s="319">
        <v>150.0</v>
      </c>
      <c r="Z213" s="151">
        <v>5.577060931899641</v>
      </c>
      <c r="AA213" s="11">
        <v>18.301508975302504</v>
      </c>
      <c r="AB213" s="321">
        <f t="shared" si="359"/>
        <v>-1.188321591</v>
      </c>
      <c r="AC213" s="353">
        <v>48.76702508960573</v>
      </c>
      <c r="AD213" s="11">
        <v>12.400822397213869</v>
      </c>
      <c r="AE213" s="321">
        <f t="shared" si="360"/>
        <v>1.369291576</v>
      </c>
      <c r="AF213" s="151">
        <v>76.00716845878135</v>
      </c>
      <c r="AG213" s="11">
        <v>8.901544665920543</v>
      </c>
      <c r="AH213" s="321">
        <f t="shared" si="361"/>
        <v>2.144602838</v>
      </c>
      <c r="AW213" s="319">
        <v>150.0</v>
      </c>
      <c r="AX213" s="151">
        <v>7.189964157706092</v>
      </c>
      <c r="AY213" s="11">
        <v>19.50992466132772</v>
      </c>
      <c r="AZ213" s="321">
        <f t="shared" si="362"/>
        <v>-0.9982371064</v>
      </c>
      <c r="BA213" s="353">
        <v>71.8853046594982</v>
      </c>
      <c r="BB213" s="11">
        <v>10.991758928743177</v>
      </c>
      <c r="BC213" s="321">
        <f t="shared" si="363"/>
        <v>1.877926054</v>
      </c>
      <c r="BD213" s="151">
        <v>53.24731182795699</v>
      </c>
      <c r="BE213" s="11">
        <v>13.516967690823842</v>
      </c>
      <c r="BF213" s="321">
        <f t="shared" si="364"/>
        <v>1.371001559</v>
      </c>
    </row>
    <row r="214" ht="15.75" hidden="1" customHeight="1">
      <c r="A214" s="319">
        <v>250.0</v>
      </c>
      <c r="B214" s="322">
        <v>48.767025089605724</v>
      </c>
      <c r="C214" s="323">
        <v>19.867549668874176</v>
      </c>
      <c r="D214" s="324">
        <f t="shared" si="356"/>
        <v>0.8979666382</v>
      </c>
      <c r="E214" s="322">
        <v>138.55197132616485</v>
      </c>
      <c r="F214" s="323">
        <v>7.8591861771302955</v>
      </c>
      <c r="G214" s="324">
        <f t="shared" si="357"/>
        <v>2.869562438</v>
      </c>
      <c r="H214" s="322">
        <v>121.16845878136199</v>
      </c>
      <c r="I214" s="323">
        <v>10.124392993091213</v>
      </c>
      <c r="J214" s="324">
        <f t="shared" si="358"/>
        <v>2.482234139</v>
      </c>
      <c r="Y214" s="319">
        <v>250.0</v>
      </c>
      <c r="Z214" s="213">
        <v>25.111111111111114</v>
      </c>
      <c r="AA214" s="214">
        <v>24.516421256319177</v>
      </c>
      <c r="AB214" s="324">
        <f t="shared" si="359"/>
        <v>0.02396727355</v>
      </c>
      <c r="AC214" s="377">
        <v>103.06810035842292</v>
      </c>
      <c r="AD214" s="214">
        <v>14.34657601273193</v>
      </c>
      <c r="AE214" s="324">
        <f t="shared" si="360"/>
        <v>1.97187863</v>
      </c>
      <c r="AF214" s="213">
        <v>134.43010752688173</v>
      </c>
      <c r="AG214" s="214">
        <v>10.193206958112519</v>
      </c>
      <c r="AH214" s="324">
        <f t="shared" si="361"/>
        <v>2.579322903</v>
      </c>
      <c r="AW214" s="319">
        <v>250.0</v>
      </c>
      <c r="AX214" s="213">
        <v>86.93906810035841</v>
      </c>
      <c r="AY214" s="214">
        <v>26.893177852477017</v>
      </c>
      <c r="AZ214" s="324">
        <f t="shared" si="362"/>
        <v>1.173334864</v>
      </c>
      <c r="BA214" s="377">
        <v>217.40501792114696</v>
      </c>
      <c r="BB214" s="214">
        <v>9.507213684410061</v>
      </c>
      <c r="BC214" s="324">
        <f t="shared" si="363"/>
        <v>3.12971121</v>
      </c>
      <c r="BD214" s="213">
        <v>167.2258064516129</v>
      </c>
      <c r="BE214" s="214">
        <v>16.2467013926002</v>
      </c>
      <c r="BF214" s="324">
        <f t="shared" si="364"/>
        <v>2.331455137</v>
      </c>
    </row>
    <row r="215" ht="15.75" hidden="1" customHeight="1">
      <c r="A215" s="319">
        <v>350.0</v>
      </c>
      <c r="Y215" s="319">
        <v>350.0</v>
      </c>
      <c r="AW215" s="319">
        <v>350.0</v>
      </c>
    </row>
    <row r="216" ht="15.75" hidden="1" customHeight="1"/>
    <row r="217" ht="15.75" hidden="1" customHeight="1"/>
    <row r="218" ht="15.75" customHeight="1"/>
    <row r="219" ht="15.75" customHeight="1"/>
    <row r="220" ht="15.75" customHeight="1"/>
    <row r="221" ht="15.75" customHeight="1">
      <c r="AZ221" s="1" t="s">
        <v>807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1">
    <mergeCell ref="AX108:AZ108"/>
    <mergeCell ref="BA108:BC108"/>
    <mergeCell ref="AX124:BL124"/>
    <mergeCell ref="AX125:BB125"/>
    <mergeCell ref="BC125:BG125"/>
    <mergeCell ref="BH125:BL125"/>
    <mergeCell ref="AY136:BG136"/>
    <mergeCell ref="AY137:BA137"/>
    <mergeCell ref="BB137:BD137"/>
    <mergeCell ref="BE137:BG137"/>
    <mergeCell ref="AX152:BI152"/>
    <mergeCell ref="AX153:BA153"/>
    <mergeCell ref="BB153:BE153"/>
    <mergeCell ref="BF153:BI153"/>
    <mergeCell ref="AD82:AG82"/>
    <mergeCell ref="AH82:AK82"/>
    <mergeCell ref="B94:M94"/>
    <mergeCell ref="Z94:AK94"/>
    <mergeCell ref="B95:E95"/>
    <mergeCell ref="F95:I95"/>
    <mergeCell ref="J95:M95"/>
    <mergeCell ref="AH95:AK95"/>
    <mergeCell ref="Z95:AC95"/>
    <mergeCell ref="AD95:AG95"/>
    <mergeCell ref="B107:J107"/>
    <mergeCell ref="AX107:BF107"/>
    <mergeCell ref="B108:D108"/>
    <mergeCell ref="E108:G108"/>
    <mergeCell ref="H108:J108"/>
    <mergeCell ref="BD108:BF108"/>
    <mergeCell ref="Z107:AH107"/>
    <mergeCell ref="Z108:AB108"/>
    <mergeCell ref="AC108:AE108"/>
    <mergeCell ref="AF108:AH108"/>
    <mergeCell ref="B124:P124"/>
    <mergeCell ref="Z124:AN124"/>
    <mergeCell ref="B125:F125"/>
    <mergeCell ref="AJ125:AN125"/>
    <mergeCell ref="G125:K125"/>
    <mergeCell ref="L125:P125"/>
    <mergeCell ref="C136:K136"/>
    <mergeCell ref="C137:E137"/>
    <mergeCell ref="F137:H137"/>
    <mergeCell ref="I137:K137"/>
    <mergeCell ref="B152:P152"/>
    <mergeCell ref="BE179:BG179"/>
    <mergeCell ref="AX194:BL194"/>
    <mergeCell ref="AX165:BF165"/>
    <mergeCell ref="AX166:AZ166"/>
    <mergeCell ref="BA166:BC166"/>
    <mergeCell ref="BD166:BF166"/>
    <mergeCell ref="AY178:BG178"/>
    <mergeCell ref="AY179:BA179"/>
    <mergeCell ref="BB179:BD179"/>
    <mergeCell ref="L195:P195"/>
    <mergeCell ref="Z195:AD195"/>
    <mergeCell ref="AE195:AI195"/>
    <mergeCell ref="AJ195:AN195"/>
    <mergeCell ref="AX195:BB195"/>
    <mergeCell ref="BC195:BG195"/>
    <mergeCell ref="BH195:BL195"/>
    <mergeCell ref="AX4:BA4"/>
    <mergeCell ref="BB4:BE4"/>
    <mergeCell ref="AX16:BL16"/>
    <mergeCell ref="AX17:BB17"/>
    <mergeCell ref="BC17:BG17"/>
    <mergeCell ref="BH17:BL17"/>
    <mergeCell ref="AX29:BK29"/>
    <mergeCell ref="AX30:AZ30"/>
    <mergeCell ref="BC30:BE30"/>
    <mergeCell ref="BH30:BJ30"/>
    <mergeCell ref="AX42:BK42"/>
    <mergeCell ref="AX43:BA43"/>
    <mergeCell ref="BC43:BF43"/>
    <mergeCell ref="BH43:BK43"/>
    <mergeCell ref="Z43:AC43"/>
    <mergeCell ref="AE43:AH43"/>
    <mergeCell ref="B55:M55"/>
    <mergeCell ref="Z55:AK55"/>
    <mergeCell ref="B56:E56"/>
    <mergeCell ref="F56:I56"/>
    <mergeCell ref="J56:M56"/>
    <mergeCell ref="AH56:AK56"/>
    <mergeCell ref="Z56:AC56"/>
    <mergeCell ref="AD56:AG56"/>
    <mergeCell ref="B68:M68"/>
    <mergeCell ref="Z68:AK68"/>
    <mergeCell ref="B69:D69"/>
    <mergeCell ref="J69:L69"/>
    <mergeCell ref="Z69:AB69"/>
    <mergeCell ref="AX82:BA82"/>
    <mergeCell ref="BB82:BE82"/>
    <mergeCell ref="B81:M81"/>
    <mergeCell ref="Z81:AK81"/>
    <mergeCell ref="AX81:BI81"/>
    <mergeCell ref="B82:E82"/>
    <mergeCell ref="F82:I82"/>
    <mergeCell ref="J82:M82"/>
    <mergeCell ref="Z82:AC82"/>
    <mergeCell ref="BF82:BI82"/>
    <mergeCell ref="B3:M3"/>
    <mergeCell ref="Z3:AK3"/>
    <mergeCell ref="AX3:BI3"/>
    <mergeCell ref="B4:E4"/>
    <mergeCell ref="F4:I4"/>
    <mergeCell ref="J4:M4"/>
    <mergeCell ref="Z4:AC4"/>
    <mergeCell ref="BF4:BI4"/>
    <mergeCell ref="AD4:AG4"/>
    <mergeCell ref="AH4:AK4"/>
    <mergeCell ref="B16:P16"/>
    <mergeCell ref="Z16:AN16"/>
    <mergeCell ref="B17:F17"/>
    <mergeCell ref="G17:K17"/>
    <mergeCell ref="L17:P17"/>
    <mergeCell ref="AJ17:AN17"/>
    <mergeCell ref="Z17:AD17"/>
    <mergeCell ref="AE17:AI17"/>
    <mergeCell ref="B29:O29"/>
    <mergeCell ref="Z29:AM29"/>
    <mergeCell ref="B30:D30"/>
    <mergeCell ref="G30:I30"/>
    <mergeCell ref="L30:N30"/>
    <mergeCell ref="AJ30:AL30"/>
    <mergeCell ref="Z30:AB30"/>
    <mergeCell ref="AE30:AG30"/>
    <mergeCell ref="B42:O42"/>
    <mergeCell ref="Z42:AM42"/>
    <mergeCell ref="B43:E43"/>
    <mergeCell ref="G43:J43"/>
    <mergeCell ref="L43:O43"/>
    <mergeCell ref="AJ43:AM43"/>
    <mergeCell ref="AD69:AF69"/>
    <mergeCell ref="AH69:AJ69"/>
    <mergeCell ref="BF69:BH69"/>
    <mergeCell ref="AX94:BI94"/>
    <mergeCell ref="AX95:BA95"/>
    <mergeCell ref="BB95:BE95"/>
    <mergeCell ref="BF95:BI95"/>
    <mergeCell ref="AX55:BI55"/>
    <mergeCell ref="AX56:BA56"/>
    <mergeCell ref="BB56:BE56"/>
    <mergeCell ref="BF56:BI56"/>
    <mergeCell ref="AX68:BI68"/>
    <mergeCell ref="AX69:AZ69"/>
    <mergeCell ref="BB69:BD69"/>
    <mergeCell ref="Z153:AC153"/>
    <mergeCell ref="AD153:AG153"/>
    <mergeCell ref="AH153:AK153"/>
    <mergeCell ref="Z125:AD125"/>
    <mergeCell ref="AE125:AI125"/>
    <mergeCell ref="AA136:AI136"/>
    <mergeCell ref="AA137:AC137"/>
    <mergeCell ref="AD137:AF137"/>
    <mergeCell ref="AG137:AI137"/>
    <mergeCell ref="Z152:AK152"/>
    <mergeCell ref="Z165:AH165"/>
    <mergeCell ref="Z166:AB166"/>
    <mergeCell ref="AC166:AE166"/>
    <mergeCell ref="AF166:AH166"/>
    <mergeCell ref="AA178:AI178"/>
    <mergeCell ref="AA179:AC179"/>
    <mergeCell ref="AD179:AF179"/>
    <mergeCell ref="AX208:AZ208"/>
    <mergeCell ref="BA208:BC208"/>
    <mergeCell ref="AG179:AI179"/>
    <mergeCell ref="Z194:AN194"/>
    <mergeCell ref="Z207:AH207"/>
    <mergeCell ref="AX207:BF207"/>
    <mergeCell ref="Z208:AB208"/>
    <mergeCell ref="AC208:AE208"/>
    <mergeCell ref="AF208:AH208"/>
    <mergeCell ref="BD208:BF208"/>
    <mergeCell ref="B153:F153"/>
    <mergeCell ref="G153:K153"/>
    <mergeCell ref="L153:P153"/>
    <mergeCell ref="B165:J165"/>
    <mergeCell ref="B166:D166"/>
    <mergeCell ref="E166:G166"/>
    <mergeCell ref="H166:J166"/>
    <mergeCell ref="B207:J207"/>
    <mergeCell ref="B208:D208"/>
    <mergeCell ref="E208:G208"/>
    <mergeCell ref="H208:J208"/>
    <mergeCell ref="C178:K178"/>
    <mergeCell ref="C179:E179"/>
    <mergeCell ref="F179:H179"/>
    <mergeCell ref="I179:K179"/>
    <mergeCell ref="B194:P194"/>
    <mergeCell ref="B195:F195"/>
    <mergeCell ref="G195:K19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10.71"/>
    <col customWidth="1" min="9" max="26" width="8.71"/>
  </cols>
  <sheetData>
    <row r="5">
      <c r="A5" s="134" t="s">
        <v>167</v>
      </c>
      <c r="B5" s="3"/>
      <c r="C5" s="3"/>
      <c r="D5" s="3"/>
      <c r="E5" s="3"/>
      <c r="F5" s="3"/>
      <c r="G5" s="3"/>
      <c r="H5" s="3"/>
      <c r="I5" s="4"/>
    </row>
    <row r="6">
      <c r="A6" s="135" t="s">
        <v>168</v>
      </c>
      <c r="B6" s="135" t="s">
        <v>169</v>
      </c>
      <c r="C6" s="135" t="s">
        <v>170</v>
      </c>
      <c r="D6" s="136" t="s">
        <v>171</v>
      </c>
    </row>
    <row r="7">
      <c r="A7" s="137"/>
      <c r="B7" s="137"/>
      <c r="C7" s="137"/>
      <c r="D7" s="138" t="s">
        <v>172</v>
      </c>
      <c r="E7" s="138" t="s">
        <v>173</v>
      </c>
      <c r="F7" s="138" t="s">
        <v>174</v>
      </c>
      <c r="G7" s="138" t="s">
        <v>175</v>
      </c>
      <c r="H7" s="138" t="s">
        <v>176</v>
      </c>
      <c r="I7" s="138" t="s">
        <v>177</v>
      </c>
    </row>
    <row r="8">
      <c r="A8" s="139">
        <v>100.0</v>
      </c>
      <c r="B8" s="140">
        <v>1.01</v>
      </c>
      <c r="C8" s="140">
        <v>17.91</v>
      </c>
      <c r="D8" s="11">
        <v>13.038987864704366</v>
      </c>
      <c r="E8" s="11">
        <v>20.506615836296138</v>
      </c>
      <c r="F8" s="11">
        <v>20.076620697683516</v>
      </c>
      <c r="G8" s="11">
        <v>17.077945966717653</v>
      </c>
      <c r="H8" s="11">
        <v>20.025978772419275</v>
      </c>
      <c r="I8" s="11">
        <v>5.721984578859232</v>
      </c>
    </row>
    <row r="9">
      <c r="A9" s="139">
        <v>200.0</v>
      </c>
      <c r="B9" s="11">
        <v>4.32419547079857</v>
      </c>
      <c r="C9" s="11">
        <v>38.77632101708383</v>
      </c>
      <c r="D9" s="11">
        <v>33.13886628175162</v>
      </c>
      <c r="E9" s="11">
        <v>30.647894164556774</v>
      </c>
      <c r="F9" s="11">
        <v>34.19807474512697</v>
      </c>
      <c r="G9" s="11">
        <v>45.81666289160274</v>
      </c>
      <c r="H9" s="11">
        <v>25.43169507951441</v>
      </c>
      <c r="I9" s="11">
        <v>22.724885641193854</v>
      </c>
    </row>
    <row r="10">
      <c r="A10" s="139">
        <v>300.0</v>
      </c>
      <c r="B10" s="11">
        <v>32.33373063170441</v>
      </c>
      <c r="C10" s="11">
        <v>48.013508144616594</v>
      </c>
      <c r="D10" s="11">
        <v>55.87886760016454</v>
      </c>
      <c r="E10" s="11">
        <v>53.43402655402922</v>
      </c>
      <c r="F10" s="11">
        <v>53.734080423247796</v>
      </c>
      <c r="G10" s="11">
        <v>50.48985331368985</v>
      </c>
      <c r="H10" s="11">
        <v>65.1612695418517</v>
      </c>
      <c r="I10" s="11">
        <v>28.856811774585406</v>
      </c>
    </row>
    <row r="11">
      <c r="A11" s="139">
        <v>400.0</v>
      </c>
      <c r="B11" s="11">
        <v>54.085816448152556</v>
      </c>
      <c r="C11" s="11">
        <v>62.038140643623365</v>
      </c>
      <c r="D11" s="11">
        <v>58.365586092583634</v>
      </c>
      <c r="E11" s="11">
        <v>61.595777374778606</v>
      </c>
      <c r="F11" s="11">
        <v>58.72965108396347</v>
      </c>
      <c r="G11" s="11">
        <v>50.55845974545332</v>
      </c>
      <c r="H11" s="11">
        <v>101.0</v>
      </c>
      <c r="I11" s="11">
        <v>29.97851992480699</v>
      </c>
    </row>
    <row r="12">
      <c r="A12" s="5"/>
      <c r="B12" s="141"/>
      <c r="C12" s="141"/>
      <c r="D12" s="141"/>
      <c r="E12" s="141"/>
      <c r="F12" s="141"/>
      <c r="G12" s="141"/>
      <c r="H12" s="141"/>
    </row>
    <row r="13">
      <c r="A13" s="5"/>
      <c r="B13" s="141"/>
      <c r="C13" s="141"/>
      <c r="D13" s="141"/>
      <c r="E13" s="141"/>
      <c r="F13" s="141"/>
      <c r="G13" s="141"/>
      <c r="H13" s="141"/>
    </row>
    <row r="14">
      <c r="A14" s="5"/>
      <c r="B14" s="141"/>
      <c r="C14" s="141"/>
      <c r="D14" s="141"/>
      <c r="E14" s="141"/>
      <c r="F14" s="141"/>
      <c r="G14" s="141"/>
      <c r="H14" s="141"/>
    </row>
    <row r="15">
      <c r="A15" s="5"/>
      <c r="B15" s="141"/>
      <c r="C15" s="141"/>
      <c r="D15" s="141"/>
      <c r="E15" s="141"/>
      <c r="F15" s="141"/>
      <c r="G15" s="141"/>
      <c r="H15" s="141"/>
    </row>
    <row r="20">
      <c r="A20" s="134" t="s">
        <v>178</v>
      </c>
      <c r="B20" s="3"/>
      <c r="C20" s="3"/>
      <c r="D20" s="3"/>
      <c r="E20" s="3"/>
      <c r="F20" s="3"/>
      <c r="G20" s="3"/>
      <c r="H20" s="3"/>
      <c r="I20" s="4"/>
    </row>
    <row r="21" ht="15.75" customHeight="1">
      <c r="A21" s="135" t="s">
        <v>168</v>
      </c>
      <c r="B21" s="135" t="s">
        <v>169</v>
      </c>
      <c r="C21" s="135" t="s">
        <v>170</v>
      </c>
      <c r="D21" s="136" t="s">
        <v>171</v>
      </c>
    </row>
    <row r="22" ht="15.75" customHeight="1">
      <c r="A22" s="137"/>
      <c r="B22" s="137"/>
      <c r="C22" s="137"/>
      <c r="D22" s="138" t="s">
        <v>172</v>
      </c>
      <c r="E22" s="138" t="s">
        <v>173</v>
      </c>
      <c r="F22" s="138" t="s">
        <v>174</v>
      </c>
      <c r="G22" s="138" t="s">
        <v>175</v>
      </c>
      <c r="H22" s="138" t="s">
        <v>176</v>
      </c>
      <c r="I22" s="138" t="s">
        <v>177</v>
      </c>
    </row>
    <row r="23" ht="15.75" customHeight="1">
      <c r="A23" s="142">
        <v>100.0</v>
      </c>
      <c r="B23" s="11">
        <v>3.4302741358760427</v>
      </c>
      <c r="C23" s="11">
        <v>17.421533571712352</v>
      </c>
      <c r="D23" s="11">
        <v>6.15476737844976</v>
      </c>
      <c r="E23" s="11">
        <v>17.024732059488255</v>
      </c>
      <c r="F23" s="11">
        <v>16.68796963419253</v>
      </c>
      <c r="G23" s="11">
        <v>19.503356560208093</v>
      </c>
      <c r="H23" s="11">
        <v>17.397034085114797</v>
      </c>
      <c r="I23" s="11">
        <v>14.696023864939571</v>
      </c>
    </row>
    <row r="24" ht="15.75" customHeight="1">
      <c r="A24" s="142">
        <v>200.0</v>
      </c>
      <c r="B24" s="11">
        <v>77.77473182359952</v>
      </c>
      <c r="C24" s="11">
        <v>24.08621374652364</v>
      </c>
      <c r="D24" s="11">
        <v>28.200379877306982</v>
      </c>
      <c r="E24" s="11">
        <v>26.668745044523593</v>
      </c>
      <c r="F24" s="11">
        <v>27.211328030597183</v>
      </c>
      <c r="G24" s="11">
        <v>28.356725135574095</v>
      </c>
      <c r="H24" s="11">
        <v>25.46657253580629</v>
      </c>
      <c r="I24" s="11">
        <v>17.620048942620883</v>
      </c>
    </row>
    <row r="25" ht="15.75" customHeight="1">
      <c r="A25" s="142">
        <v>300.0</v>
      </c>
      <c r="B25" s="11">
        <v>128.2812872467223</v>
      </c>
      <c r="C25" s="11">
        <v>28.823996821613022</v>
      </c>
      <c r="D25" s="11">
        <v>30.16306518263385</v>
      </c>
      <c r="E25" s="11">
        <v>28.65852826945575</v>
      </c>
      <c r="F25" s="11">
        <v>28.898506390463847</v>
      </c>
      <c r="G25" s="11">
        <v>28.373462702151738</v>
      </c>
      <c r="H25" s="11">
        <v>28.178656087873243</v>
      </c>
      <c r="I25" s="11">
        <v>17.897881688899712</v>
      </c>
    </row>
    <row r="26" ht="15.75" customHeight="1">
      <c r="A26" s="142">
        <v>400.0</v>
      </c>
      <c r="B26" s="11">
        <v>200.0</v>
      </c>
      <c r="C26" s="11">
        <v>32.86</v>
      </c>
      <c r="D26" s="11">
        <v>31.368612566266194</v>
      </c>
      <c r="E26" s="11">
        <v>30.548375012845913</v>
      </c>
      <c r="F26" s="11">
        <v>30.39580683305336</v>
      </c>
      <c r="G26" s="11">
        <v>28.379225493301707</v>
      </c>
      <c r="H26" s="11">
        <v>31.486717251442325</v>
      </c>
      <c r="I26" s="11">
        <v>18.124608132115526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134" t="s">
        <v>179</v>
      </c>
      <c r="B35" s="3"/>
      <c r="C35" s="3"/>
      <c r="D35" s="3"/>
      <c r="E35" s="3"/>
      <c r="F35" s="3"/>
      <c r="G35" s="3"/>
      <c r="H35" s="3"/>
      <c r="I35" s="4"/>
    </row>
    <row r="36" ht="15.75" customHeight="1">
      <c r="A36" s="143" t="s">
        <v>168</v>
      </c>
      <c r="B36" s="135" t="s">
        <v>169</v>
      </c>
      <c r="C36" s="135" t="s">
        <v>170</v>
      </c>
      <c r="D36" s="136" t="s">
        <v>171</v>
      </c>
    </row>
    <row r="37" ht="15.75" customHeight="1">
      <c r="A37" s="137"/>
      <c r="B37" s="137"/>
      <c r="C37" s="137"/>
      <c r="D37" s="138" t="s">
        <v>172</v>
      </c>
      <c r="E37" s="138" t="s">
        <v>173</v>
      </c>
      <c r="F37" s="138" t="s">
        <v>174</v>
      </c>
      <c r="G37" s="138" t="s">
        <v>175</v>
      </c>
      <c r="H37" s="138" t="s">
        <v>176</v>
      </c>
      <c r="I37" s="138" t="s">
        <v>177</v>
      </c>
    </row>
    <row r="38" ht="15.75" customHeight="1">
      <c r="A38" s="142">
        <v>100.0</v>
      </c>
      <c r="B38" s="11">
        <v>14.455303933253873</v>
      </c>
      <c r="C38" s="11">
        <v>15.216527612236789</v>
      </c>
      <c r="D38" s="11">
        <v>16.69374628699039</v>
      </c>
      <c r="E38" s="11">
        <v>15.931510746406348</v>
      </c>
      <c r="F38" s="11">
        <v>16.08497470042669</v>
      </c>
      <c r="G38" s="11">
        <v>14.780959362506236</v>
      </c>
      <c r="H38" s="11">
        <v>15.748642009499068</v>
      </c>
      <c r="I38" s="11">
        <v>11.711919840728036</v>
      </c>
    </row>
    <row r="39" ht="15.75" customHeight="1">
      <c r="A39" s="142">
        <v>200.0</v>
      </c>
      <c r="B39" s="11">
        <v>77.17878426698451</v>
      </c>
      <c r="C39" s="11">
        <v>24.20540325784664</v>
      </c>
      <c r="D39" s="11">
        <v>23.346090825029215</v>
      </c>
      <c r="E39" s="11">
        <v>21.617333538464667</v>
      </c>
      <c r="F39" s="11">
        <v>22.05942262532796</v>
      </c>
      <c r="G39" s="11">
        <v>24.225265679730317</v>
      </c>
      <c r="H39" s="11">
        <v>20.59010710835426</v>
      </c>
      <c r="I39" s="11">
        <v>12.798188602061767</v>
      </c>
    </row>
    <row r="40" ht="15.75" customHeight="1">
      <c r="A40" s="142">
        <v>300.0</v>
      </c>
      <c r="B40" s="11">
        <v>150.1823599523242</v>
      </c>
      <c r="C40" s="11">
        <v>24.4437822804926</v>
      </c>
      <c r="D40" s="11">
        <v>24.43700659149286</v>
      </c>
      <c r="E40" s="11">
        <v>24.40506496402597</v>
      </c>
      <c r="F40" s="11">
        <v>24.43386642473046</v>
      </c>
      <c r="G40" s="11">
        <v>24.56566519528779</v>
      </c>
      <c r="H40" s="11">
        <v>24.298079678234377</v>
      </c>
      <c r="I40" s="11">
        <v>13.13487493058411</v>
      </c>
    </row>
    <row r="41" ht="15.75" customHeight="1">
      <c r="A41" s="142">
        <v>400.0</v>
      </c>
      <c r="B41" s="11">
        <v>240.17044100119188</v>
      </c>
      <c r="C41" s="11">
        <v>24.8212157330155</v>
      </c>
      <c r="D41" s="11">
        <v>24.89785513546326</v>
      </c>
      <c r="E41" s="11">
        <v>26.584632617173114</v>
      </c>
      <c r="F41" s="11">
        <v>26.108426915219038</v>
      </c>
      <c r="G41" s="11">
        <v>24.64121233435576</v>
      </c>
      <c r="H41" s="11">
        <v>28.573702635352912</v>
      </c>
      <c r="I41" s="11">
        <v>13.350931936882018</v>
      </c>
    </row>
    <row r="42" ht="15.75" customHeight="1"/>
    <row r="43" ht="15.75" customHeight="1"/>
    <row r="44" ht="15.75" customHeight="1"/>
    <row r="45" ht="15.75" customHeight="1"/>
    <row r="46" ht="3.0" customHeight="1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5.75" customHeight="1"/>
    <row r="48" ht="15.75" customHeight="1"/>
    <row r="49" ht="15.75" customHeight="1"/>
    <row r="50" ht="15.75" customHeight="1"/>
    <row r="51" ht="15.75" customHeight="1">
      <c r="A51" s="145" t="s">
        <v>180</v>
      </c>
      <c r="B51" s="27"/>
      <c r="C51" s="27"/>
      <c r="D51" s="27"/>
      <c r="E51" s="27"/>
      <c r="F51" s="27"/>
      <c r="G51" s="27"/>
      <c r="H51" s="8"/>
    </row>
    <row r="52" ht="15.75" customHeight="1">
      <c r="A52" s="146" t="s">
        <v>168</v>
      </c>
      <c r="B52" s="135" t="s">
        <v>169</v>
      </c>
      <c r="C52" s="135" t="s">
        <v>170</v>
      </c>
      <c r="D52" s="48" t="s">
        <v>171</v>
      </c>
      <c r="E52" s="27"/>
      <c r="F52" s="27"/>
      <c r="G52" s="27"/>
      <c r="H52" s="8"/>
      <c r="I52" s="147"/>
    </row>
    <row r="53" ht="15.75" customHeight="1">
      <c r="A53" s="148"/>
      <c r="B53" s="137"/>
      <c r="C53" s="137"/>
      <c r="D53" s="138" t="s">
        <v>172</v>
      </c>
      <c r="E53" s="138" t="s">
        <v>173</v>
      </c>
      <c r="F53" s="138" t="s">
        <v>174</v>
      </c>
      <c r="G53" s="138" t="s">
        <v>175</v>
      </c>
      <c r="H53" s="138" t="s">
        <v>176</v>
      </c>
      <c r="I53" s="138" t="s">
        <v>177</v>
      </c>
    </row>
    <row r="54" ht="15.75" customHeight="1">
      <c r="A54" s="139">
        <v>100.0</v>
      </c>
      <c r="B54" s="11">
        <v>1.05</v>
      </c>
      <c r="C54" s="11">
        <v>17.9</v>
      </c>
      <c r="D54" s="11">
        <v>14.124293785310735</v>
      </c>
      <c r="E54" s="11">
        <v>18.81302502849514</v>
      </c>
      <c r="F54" s="11">
        <v>17.536117829091175</v>
      </c>
      <c r="G54" s="11">
        <v>16.829426139080823</v>
      </c>
      <c r="H54" s="11">
        <v>19.02826661626917</v>
      </c>
      <c r="I54" s="11">
        <v>6.387738272690456</v>
      </c>
    </row>
    <row r="55" ht="15.75" customHeight="1">
      <c r="A55" s="139">
        <v>200.0</v>
      </c>
      <c r="B55" s="11">
        <v>5.814064362336113</v>
      </c>
      <c r="C55" s="11">
        <v>38.47834723877632</v>
      </c>
      <c r="D55" s="11">
        <v>40.13903014623838</v>
      </c>
      <c r="E55" s="11">
        <v>34.36346128324121</v>
      </c>
      <c r="F55" s="11">
        <v>38.37692800510254</v>
      </c>
      <c r="G55" s="11">
        <v>49.178705256120004</v>
      </c>
      <c r="H55" s="11">
        <v>26.500539763457184</v>
      </c>
      <c r="I55" s="11">
        <v>22.568303701823137</v>
      </c>
    </row>
    <row r="56" ht="15.75" customHeight="1">
      <c r="A56" s="139">
        <v>300.0</v>
      </c>
      <c r="B56" s="11">
        <v>26.67222884386174</v>
      </c>
      <c r="C56" s="11">
        <v>52.0</v>
      </c>
      <c r="D56" s="11">
        <v>58.80782366377628</v>
      </c>
      <c r="E56" s="11">
        <v>58.74526627294187</v>
      </c>
      <c r="F56" s="11">
        <v>56.9266761251499</v>
      </c>
      <c r="G56" s="11">
        <v>52.245886127147536</v>
      </c>
      <c r="H56" s="11">
        <v>65.49907346793779</v>
      </c>
      <c r="I56" s="11">
        <v>28.10674181417903</v>
      </c>
    </row>
    <row r="57" ht="15.75" customHeight="1">
      <c r="A57" s="139">
        <v>400.0</v>
      </c>
      <c r="B57" s="140">
        <v>32.0</v>
      </c>
      <c r="C57" s="140">
        <v>66.46</v>
      </c>
      <c r="D57" s="11">
        <v>60.105184072126214</v>
      </c>
      <c r="E57" s="11">
        <v>62.63438137675247</v>
      </c>
      <c r="F57" s="11">
        <v>59.14426608839227</v>
      </c>
      <c r="G57" s="11">
        <v>52.3000000928854</v>
      </c>
      <c r="H57" s="140">
        <v>104.9843227990883</v>
      </c>
      <c r="I57" s="11">
        <v>28.645879107672105</v>
      </c>
    </row>
    <row r="58" ht="15.75" customHeight="1">
      <c r="A58" s="5"/>
      <c r="B58" s="141"/>
      <c r="C58" s="141"/>
      <c r="D58" s="141"/>
      <c r="E58" s="141"/>
      <c r="F58" s="141"/>
      <c r="G58" s="141"/>
      <c r="H58" s="141"/>
    </row>
    <row r="59" ht="15.75" customHeight="1">
      <c r="A59" s="5"/>
      <c r="B59" s="141"/>
      <c r="C59" s="141"/>
      <c r="D59" s="141"/>
      <c r="E59" s="141"/>
      <c r="F59" s="141"/>
      <c r="G59" s="141"/>
      <c r="H59" s="141"/>
    </row>
    <row r="60" ht="15.75" customHeight="1">
      <c r="A60" s="5"/>
      <c r="B60" s="141"/>
      <c r="C60" s="141"/>
      <c r="D60" s="141"/>
      <c r="E60" s="141"/>
      <c r="F60" s="141"/>
      <c r="G60" s="141"/>
      <c r="H60" s="141"/>
    </row>
    <row r="61" ht="15.75" customHeight="1">
      <c r="A61" s="5"/>
      <c r="B61" s="141"/>
      <c r="C61" s="141"/>
      <c r="D61" s="141"/>
      <c r="E61" s="141"/>
      <c r="F61" s="141"/>
      <c r="G61" s="141"/>
      <c r="H61" s="141"/>
    </row>
    <row r="62" ht="15.75" customHeight="1"/>
    <row r="63" ht="15.75" customHeight="1"/>
    <row r="64" ht="15.75" customHeight="1"/>
    <row r="65" ht="15.75" customHeight="1"/>
    <row r="66" ht="15.75" customHeight="1">
      <c r="A66" s="145" t="s">
        <v>181</v>
      </c>
      <c r="B66" s="27"/>
      <c r="C66" s="27"/>
      <c r="D66" s="27"/>
      <c r="E66" s="27"/>
      <c r="F66" s="27"/>
      <c r="G66" s="27"/>
      <c r="H66" s="8"/>
    </row>
    <row r="67" ht="15.75" customHeight="1">
      <c r="A67" s="143" t="s">
        <v>168</v>
      </c>
      <c r="B67" s="135" t="s">
        <v>169</v>
      </c>
      <c r="C67" s="135" t="s">
        <v>170</v>
      </c>
      <c r="D67" s="48" t="s">
        <v>171</v>
      </c>
      <c r="E67" s="27"/>
      <c r="F67" s="27"/>
      <c r="G67" s="27"/>
      <c r="H67" s="8"/>
    </row>
    <row r="68" ht="15.75" customHeight="1">
      <c r="A68" s="137"/>
      <c r="B68" s="137"/>
      <c r="C68" s="137"/>
      <c r="D68" s="138" t="s">
        <v>172</v>
      </c>
      <c r="E68" s="138" t="s">
        <v>173</v>
      </c>
      <c r="F68" s="138" t="s">
        <v>174</v>
      </c>
      <c r="G68" s="138" t="s">
        <v>175</v>
      </c>
      <c r="H68" s="138" t="s">
        <v>176</v>
      </c>
      <c r="I68" s="138" t="s">
        <v>177</v>
      </c>
    </row>
    <row r="69" ht="15.75" customHeight="1">
      <c r="A69" s="142">
        <v>100.0</v>
      </c>
      <c r="B69" s="11">
        <v>1.03</v>
      </c>
      <c r="C69" s="11">
        <v>17.9</v>
      </c>
      <c r="D69" s="11">
        <v>11.788673716980266</v>
      </c>
      <c r="E69" s="11">
        <v>19.011594084953092</v>
      </c>
      <c r="F69" s="11">
        <v>19.033009751689917</v>
      </c>
      <c r="G69" s="11">
        <v>16.98806838040324</v>
      </c>
      <c r="H69" s="11">
        <v>18.62319581884154</v>
      </c>
      <c r="I69" s="11">
        <v>9.737390776077381</v>
      </c>
    </row>
    <row r="70" ht="15.75" customHeight="1">
      <c r="A70" s="142">
        <v>200.0</v>
      </c>
      <c r="B70" s="11">
        <v>16.392133492252682</v>
      </c>
      <c r="C70" s="11">
        <v>36.36273341279301</v>
      </c>
      <c r="D70" s="11">
        <v>37.99014902425287</v>
      </c>
      <c r="E70" s="11">
        <v>32.02117947980685</v>
      </c>
      <c r="F70" s="11">
        <v>34.1064577483204</v>
      </c>
      <c r="G70" s="11">
        <v>40.53736239843703</v>
      </c>
      <c r="H70" s="11">
        <v>27.513946342452247</v>
      </c>
      <c r="I70" s="11">
        <v>22.946489584037355</v>
      </c>
    </row>
    <row r="71" ht="15.75" customHeight="1">
      <c r="A71" s="142">
        <v>300.0</v>
      </c>
      <c r="B71" s="11">
        <v>61.68414779499404</v>
      </c>
      <c r="C71" s="11">
        <v>42.14342471195867</v>
      </c>
      <c r="D71" s="11">
        <v>42.65773524542107</v>
      </c>
      <c r="E71" s="11">
        <v>41.10254376242619</v>
      </c>
      <c r="F71" s="11">
        <v>41.32509313004624</v>
      </c>
      <c r="G71" s="11">
        <v>40.78880418187382</v>
      </c>
      <c r="H71" s="11">
        <v>41.783827082267685</v>
      </c>
      <c r="I71" s="11">
        <v>24.686077061018786</v>
      </c>
    </row>
    <row r="72" ht="15.75" customHeight="1">
      <c r="A72" s="142">
        <v>400.0</v>
      </c>
      <c r="B72" s="11">
        <v>144.22288438617403</v>
      </c>
      <c r="C72" s="11">
        <v>44.01072705601908</v>
      </c>
      <c r="D72" s="11">
        <v>43.77164947273292</v>
      </c>
      <c r="E72" s="11">
        <v>48.23497290941779</v>
      </c>
      <c r="F72" s="11">
        <v>45.951494572258035</v>
      </c>
      <c r="G72" s="11">
        <v>40.80518275844925</v>
      </c>
      <c r="H72" s="11">
        <v>103.5529819989732</v>
      </c>
      <c r="I72" s="11">
        <v>25.57296762900067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A81" s="145" t="s">
        <v>182</v>
      </c>
      <c r="B81" s="27"/>
      <c r="C81" s="27"/>
      <c r="D81" s="27"/>
      <c r="E81" s="27"/>
      <c r="F81" s="27"/>
      <c r="G81" s="27"/>
      <c r="H81" s="8"/>
    </row>
    <row r="82" ht="15.75" customHeight="1">
      <c r="A82" s="135" t="s">
        <v>168</v>
      </c>
      <c r="B82" s="135" t="s">
        <v>169</v>
      </c>
      <c r="C82" s="135" t="s">
        <v>170</v>
      </c>
      <c r="D82" s="48" t="s">
        <v>171</v>
      </c>
      <c r="E82" s="27"/>
      <c r="F82" s="27"/>
      <c r="G82" s="27"/>
      <c r="H82" s="8"/>
      <c r="I82" s="147"/>
    </row>
    <row r="83" ht="15.75" customHeight="1">
      <c r="A83" s="137"/>
      <c r="B83" s="137"/>
      <c r="C83" s="137"/>
      <c r="D83" s="138" t="s">
        <v>172</v>
      </c>
      <c r="E83" s="138" t="s">
        <v>173</v>
      </c>
      <c r="F83" s="138" t="s">
        <v>174</v>
      </c>
      <c r="G83" s="138" t="s">
        <v>175</v>
      </c>
      <c r="H83" s="138" t="s">
        <v>176</v>
      </c>
      <c r="I83" s="138" t="s">
        <v>177</v>
      </c>
    </row>
    <row r="84" ht="15.75" customHeight="1">
      <c r="A84" s="142">
        <v>100.0</v>
      </c>
      <c r="B84" s="140">
        <v>5.79141835518474</v>
      </c>
      <c r="C84" s="140">
        <v>16.9493047278506</v>
      </c>
      <c r="D84" s="140">
        <v>17.04997231441004</v>
      </c>
      <c r="E84" s="11">
        <v>19.44381353641806</v>
      </c>
      <c r="F84" s="11">
        <v>15.6887994375041</v>
      </c>
      <c r="G84" s="11">
        <v>16.684336817950935</v>
      </c>
      <c r="H84" s="11">
        <v>18.80780380530149</v>
      </c>
      <c r="I84" s="11">
        <v>14.722113280700238</v>
      </c>
    </row>
    <row r="85" ht="15.75" customHeight="1">
      <c r="A85" s="142">
        <v>200.0</v>
      </c>
      <c r="B85" s="140">
        <v>19.073897497020262</v>
      </c>
      <c r="C85" s="140">
        <v>32.25474771553428</v>
      </c>
      <c r="D85" s="140">
        <v>28.90944045067149</v>
      </c>
      <c r="E85" s="11">
        <v>25.67429213025283</v>
      </c>
      <c r="F85" s="11">
        <v>23.22319380660562</v>
      </c>
      <c r="G85" s="11">
        <v>34.35153585306917</v>
      </c>
      <c r="H85" s="11">
        <v>22.970552697656846</v>
      </c>
      <c r="I85" s="11">
        <v>16.61231327496169</v>
      </c>
    </row>
    <row r="86" ht="15.75" customHeight="1">
      <c r="A86" s="142">
        <v>300.0</v>
      </c>
      <c r="B86" s="140">
        <v>111.127532777116</v>
      </c>
      <c r="C86" s="140">
        <v>35.83</v>
      </c>
      <c r="D86" s="140">
        <v>38.60909369297705</v>
      </c>
      <c r="E86" s="11">
        <v>38.724481722547786</v>
      </c>
      <c r="F86" s="11">
        <v>34.363233118061444</v>
      </c>
      <c r="G86" s="11">
        <v>37.2239931536069</v>
      </c>
      <c r="H86" s="11">
        <v>43.95780677377554</v>
      </c>
      <c r="I86" s="11">
        <v>18.53055165375266</v>
      </c>
    </row>
    <row r="87" ht="15.75" customHeight="1">
      <c r="A87" s="142">
        <v>400.0</v>
      </c>
      <c r="B87" s="140">
        <v>150.0</v>
      </c>
      <c r="C87" s="149">
        <v>41.0</v>
      </c>
      <c r="D87" s="140">
        <v>39.31744908390343</v>
      </c>
      <c r="E87" s="11">
        <v>41.53024389592691</v>
      </c>
      <c r="F87" s="11">
        <v>36.25929009949265</v>
      </c>
      <c r="G87" s="11">
        <v>37.26666045170964</v>
      </c>
      <c r="H87" s="11">
        <v>59.44007727153706</v>
      </c>
      <c r="I87" s="11">
        <v>18.799239643071886</v>
      </c>
    </row>
    <row r="88" ht="15.75" customHeight="1"/>
    <row r="89" ht="15.75" customHeight="1"/>
    <row r="90" ht="15.75" customHeight="1"/>
    <row r="91" ht="15.75" customHeight="1"/>
    <row r="92" ht="3.0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5.75" customHeight="1"/>
    <row r="94" ht="15.75" customHeight="1"/>
    <row r="95" ht="15.75" customHeight="1"/>
    <row r="96" ht="15.75" customHeight="1"/>
    <row r="97" ht="15.75" customHeight="1">
      <c r="A97" s="145" t="s">
        <v>183</v>
      </c>
      <c r="B97" s="27"/>
      <c r="C97" s="27"/>
      <c r="D97" s="27"/>
      <c r="E97" s="27"/>
      <c r="F97" s="27"/>
      <c r="G97" s="27"/>
      <c r="H97" s="8"/>
    </row>
    <row r="98" ht="15.75" customHeight="1">
      <c r="A98" s="150" t="s">
        <v>168</v>
      </c>
      <c r="B98" s="135" t="s">
        <v>169</v>
      </c>
      <c r="C98" s="135" t="s">
        <v>170</v>
      </c>
      <c r="D98" s="48" t="s">
        <v>171</v>
      </c>
      <c r="E98" s="27"/>
      <c r="F98" s="27"/>
      <c r="G98" s="27"/>
      <c r="H98" s="8"/>
      <c r="I98" s="147"/>
    </row>
    <row r="99" ht="15.75" customHeight="1">
      <c r="A99" s="148"/>
      <c r="B99" s="137"/>
      <c r="C99" s="137"/>
      <c r="D99" s="138" t="s">
        <v>172</v>
      </c>
      <c r="E99" s="138" t="s">
        <v>173</v>
      </c>
      <c r="F99" s="138" t="s">
        <v>174</v>
      </c>
      <c r="G99" s="138" t="s">
        <v>175</v>
      </c>
      <c r="H99" s="138" t="s">
        <v>176</v>
      </c>
      <c r="I99" s="138" t="s">
        <v>177</v>
      </c>
    </row>
    <row r="100" ht="15.75" customHeight="1">
      <c r="A100" s="139">
        <v>100.0</v>
      </c>
      <c r="B100" s="11">
        <v>1.7914183551847436</v>
      </c>
      <c r="C100" s="11">
        <v>17.749304727850614</v>
      </c>
      <c r="D100" s="11">
        <v>19.78646937244112</v>
      </c>
      <c r="E100" s="11">
        <v>22.733618465183792</v>
      </c>
      <c r="F100" s="11">
        <v>23.46646143012427</v>
      </c>
      <c r="G100" s="11">
        <v>17.515657097941336</v>
      </c>
      <c r="H100" s="11">
        <v>20.760455134929515</v>
      </c>
      <c r="I100" s="11">
        <v>16.611486295348996</v>
      </c>
    </row>
    <row r="101" ht="15.75" customHeight="1">
      <c r="A101" s="139">
        <v>200.0</v>
      </c>
      <c r="B101" s="11">
        <v>4.3241954707985695</v>
      </c>
      <c r="C101" s="11">
        <v>38.77632101708383</v>
      </c>
      <c r="D101" s="11">
        <v>32.61534035743824</v>
      </c>
      <c r="E101" s="11">
        <v>29.082754433868093</v>
      </c>
      <c r="F101" s="11">
        <v>32.09482348222364</v>
      </c>
      <c r="G101" s="11">
        <v>41.3133921386479</v>
      </c>
      <c r="H101" s="11">
        <v>23.930965340466685</v>
      </c>
      <c r="I101" s="11">
        <v>21.487703766087417</v>
      </c>
    </row>
    <row r="102" ht="15.75" customHeight="1">
      <c r="A102" s="139">
        <v>300.0</v>
      </c>
      <c r="B102" s="11">
        <v>22.351609058402857</v>
      </c>
      <c r="C102" s="11">
        <v>50.00993245927691</v>
      </c>
      <c r="D102" s="11">
        <v>51.75940007341759</v>
      </c>
      <c r="E102" s="11">
        <v>46.029028385676924</v>
      </c>
      <c r="F102" s="11">
        <v>48.17888413341627</v>
      </c>
      <c r="G102" s="11">
        <v>52.064744481070996</v>
      </c>
      <c r="H102" s="11">
        <v>38.460491314688994</v>
      </c>
      <c r="I102" s="11">
        <v>26.515995638586983</v>
      </c>
    </row>
    <row r="103" ht="15.75" customHeight="1">
      <c r="A103" s="139">
        <v>400.0</v>
      </c>
      <c r="B103" s="11">
        <v>76.880810488677</v>
      </c>
      <c r="C103" s="11">
        <v>57.479141835518476</v>
      </c>
      <c r="D103" s="11">
        <v>57.50155336118834</v>
      </c>
      <c r="E103" s="11">
        <v>65.01089094428698</v>
      </c>
      <c r="F103" s="11">
        <v>60.27476840301771</v>
      </c>
      <c r="G103" s="11">
        <v>52.576333220513376</v>
      </c>
      <c r="H103" s="72" t="s">
        <v>184</v>
      </c>
      <c r="I103" s="11">
        <v>29.1168239806027</v>
      </c>
    </row>
    <row r="104" ht="15.75" customHeight="1">
      <c r="A104" s="5"/>
      <c r="B104" s="141"/>
      <c r="C104" s="141"/>
      <c r="D104" s="141"/>
      <c r="E104" s="141"/>
      <c r="F104" s="141"/>
      <c r="G104" s="141"/>
      <c r="H104" s="141"/>
    </row>
    <row r="105" ht="15.75" customHeight="1">
      <c r="A105" s="5"/>
      <c r="B105" s="141"/>
      <c r="C105" s="141"/>
      <c r="D105" s="141"/>
      <c r="E105" s="141"/>
      <c r="F105" s="141"/>
      <c r="G105" s="141"/>
      <c r="H105" s="141"/>
    </row>
    <row r="106" ht="15.75" customHeight="1">
      <c r="A106" s="5"/>
      <c r="B106" s="141"/>
      <c r="C106" s="141"/>
      <c r="D106" s="141"/>
      <c r="E106" s="141"/>
      <c r="F106" s="141"/>
      <c r="G106" s="141"/>
      <c r="H106" s="141"/>
    </row>
    <row r="107" ht="15.75" customHeight="1">
      <c r="A107" s="5"/>
      <c r="B107" s="141"/>
      <c r="C107" s="141"/>
      <c r="D107" s="141"/>
      <c r="E107" s="141"/>
      <c r="F107" s="141"/>
      <c r="G107" s="141"/>
      <c r="H107" s="141"/>
    </row>
    <row r="108" ht="15.75" customHeight="1"/>
    <row r="109" ht="15.75" customHeight="1"/>
    <row r="110" ht="15.75" customHeight="1"/>
    <row r="111" ht="15.75" customHeight="1"/>
    <row r="112" ht="15.75" customHeight="1">
      <c r="A112" s="145" t="s">
        <v>185</v>
      </c>
      <c r="B112" s="27"/>
      <c r="C112" s="27"/>
      <c r="D112" s="27"/>
      <c r="E112" s="27"/>
      <c r="F112" s="27"/>
      <c r="G112" s="27"/>
      <c r="H112" s="8"/>
    </row>
    <row r="113" ht="15.75" customHeight="1">
      <c r="A113" s="143" t="s">
        <v>168</v>
      </c>
      <c r="B113" s="135" t="s">
        <v>169</v>
      </c>
      <c r="C113" s="135" t="s">
        <v>170</v>
      </c>
      <c r="D113" s="48" t="s">
        <v>171</v>
      </c>
      <c r="E113" s="27"/>
      <c r="F113" s="27"/>
      <c r="G113" s="27"/>
      <c r="H113" s="8"/>
      <c r="I113" s="147"/>
    </row>
    <row r="114" ht="15.75" customHeight="1">
      <c r="A114" s="137"/>
      <c r="B114" s="137"/>
      <c r="C114" s="137"/>
      <c r="D114" s="138" t="s">
        <v>172</v>
      </c>
      <c r="E114" s="138" t="s">
        <v>173</v>
      </c>
      <c r="F114" s="138" t="s">
        <v>174</v>
      </c>
      <c r="G114" s="138" t="s">
        <v>175</v>
      </c>
      <c r="H114" s="138" t="s">
        <v>176</v>
      </c>
      <c r="I114" s="138" t="s">
        <v>177</v>
      </c>
    </row>
    <row r="115" ht="15.75" customHeight="1">
      <c r="A115" s="142">
        <v>100.0</v>
      </c>
      <c r="B115" s="11">
        <v>14.902264600715139</v>
      </c>
      <c r="C115" s="11">
        <v>15.127135478744535</v>
      </c>
      <c r="D115" s="11">
        <v>12.671399092519863</v>
      </c>
      <c r="E115" s="11">
        <v>15.102968195904074</v>
      </c>
      <c r="F115" s="11">
        <v>14.92609948068629</v>
      </c>
      <c r="G115" s="11">
        <v>14.353408636215072</v>
      </c>
      <c r="H115" s="11">
        <v>15.223515450335695</v>
      </c>
      <c r="I115" s="11">
        <v>10.115285438516171</v>
      </c>
    </row>
    <row r="116" ht="15.75" customHeight="1">
      <c r="A116" s="142">
        <v>200.0</v>
      </c>
      <c r="B116" s="11">
        <v>97.14302741358762</v>
      </c>
      <c r="C116" s="11">
        <v>23.0</v>
      </c>
      <c r="D116" s="11">
        <v>24.867351294060008</v>
      </c>
      <c r="E116" s="11">
        <v>23.450143813954142</v>
      </c>
      <c r="F116" s="11">
        <v>23.956953119273997</v>
      </c>
      <c r="G116" s="11">
        <v>25.50913895836726</v>
      </c>
      <c r="H116" s="11">
        <v>22.166207430276508</v>
      </c>
      <c r="I116" s="11">
        <v>11.447222736245159</v>
      </c>
    </row>
    <row r="117" ht="15.75" customHeight="1">
      <c r="A117" s="142">
        <v>300.0</v>
      </c>
      <c r="B117" s="11">
        <v>141.0</v>
      </c>
      <c r="C117" s="11">
        <v>26.28025427095748</v>
      </c>
      <c r="D117" s="11">
        <v>26.293706293706293</v>
      </c>
      <c r="E117" s="11">
        <v>25.59303117781616</v>
      </c>
      <c r="F117" s="11">
        <v>25.75176101991875</v>
      </c>
      <c r="G117" s="11">
        <v>25.705828502350084</v>
      </c>
      <c r="H117" s="11">
        <v>25.140341042350876</v>
      </c>
      <c r="I117" s="11">
        <v>11.65945522489712</v>
      </c>
    </row>
    <row r="118" ht="15.75" customHeight="1">
      <c r="A118" s="142">
        <v>400.0</v>
      </c>
      <c r="B118" s="11">
        <v>214.5</v>
      </c>
      <c r="C118" s="11">
        <v>28.0</v>
      </c>
      <c r="D118" s="11">
        <v>27.49048406320889</v>
      </c>
      <c r="E118" s="11">
        <v>28.241384683750972</v>
      </c>
      <c r="F118" s="11">
        <v>27.772858502640513</v>
      </c>
      <c r="G118" s="11">
        <v>25.80777161043582</v>
      </c>
      <c r="H118" s="11">
        <v>30.542310236429664</v>
      </c>
      <c r="I118" s="11">
        <v>11.884278881651744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A127" s="145" t="s">
        <v>186</v>
      </c>
      <c r="B127" s="27"/>
      <c r="C127" s="27"/>
      <c r="D127" s="27"/>
      <c r="E127" s="27"/>
      <c r="F127" s="27"/>
      <c r="G127" s="27"/>
      <c r="H127" s="8"/>
    </row>
    <row r="128" ht="15.75" customHeight="1">
      <c r="A128" s="135" t="s">
        <v>168</v>
      </c>
      <c r="B128" s="135" t="s">
        <v>169</v>
      </c>
      <c r="C128" s="135" t="s">
        <v>170</v>
      </c>
      <c r="D128" s="48" t="s">
        <v>171</v>
      </c>
      <c r="E128" s="27"/>
      <c r="F128" s="27"/>
      <c r="G128" s="27"/>
      <c r="H128" s="8"/>
    </row>
    <row r="129" ht="15.75" customHeight="1">
      <c r="A129" s="137"/>
      <c r="B129" s="137"/>
      <c r="C129" s="137"/>
      <c r="D129" s="138" t="s">
        <v>172</v>
      </c>
      <c r="E129" s="138" t="s">
        <v>173</v>
      </c>
      <c r="F129" s="138" t="s">
        <v>174</v>
      </c>
      <c r="G129" s="138" t="s">
        <v>175</v>
      </c>
      <c r="H129" s="138" t="s">
        <v>176</v>
      </c>
      <c r="I129" s="138" t="s">
        <v>177</v>
      </c>
    </row>
    <row r="130" ht="15.75" customHeight="1">
      <c r="A130" s="142">
        <v>100.0</v>
      </c>
      <c r="B130" s="151">
        <v>3.4302741358760436</v>
      </c>
      <c r="C130" s="11">
        <v>17.421533571712352</v>
      </c>
      <c r="D130" s="11">
        <v>8.720065300502904</v>
      </c>
      <c r="E130" s="11">
        <v>17.4128272304611</v>
      </c>
      <c r="F130" s="11">
        <v>17.34029785202203</v>
      </c>
      <c r="G130" s="11">
        <v>17.427277220168474</v>
      </c>
      <c r="H130" s="11">
        <v>17.501701719033</v>
      </c>
      <c r="I130" s="11">
        <v>15.748409101061641</v>
      </c>
    </row>
    <row r="131" ht="15.75" customHeight="1">
      <c r="A131" s="142">
        <v>200.0</v>
      </c>
      <c r="B131" s="151">
        <v>78.8176400476758</v>
      </c>
      <c r="C131" s="11">
        <v>23.877632101708386</v>
      </c>
      <c r="D131" s="11">
        <v>24.823117271210872</v>
      </c>
      <c r="E131" s="11">
        <v>23.68909232480618</v>
      </c>
      <c r="F131" s="11">
        <v>23.922113916230987</v>
      </c>
      <c r="G131" s="11">
        <v>25.106107272839516</v>
      </c>
      <c r="H131" s="11">
        <v>22.921215282031035</v>
      </c>
      <c r="I131" s="11">
        <v>17.831336143121657</v>
      </c>
    </row>
    <row r="132" ht="15.75" customHeight="1">
      <c r="A132" s="142">
        <v>300.0</v>
      </c>
      <c r="B132" s="151">
        <v>148.99046483909416</v>
      </c>
      <c r="C132" s="11">
        <v>24.68216130313865</v>
      </c>
      <c r="D132" s="11">
        <v>25.845991896669624</v>
      </c>
      <c r="E132" s="11">
        <v>25.217623839758318</v>
      </c>
      <c r="F132" s="11">
        <v>25.25915207354949</v>
      </c>
      <c r="G132" s="11">
        <v>25.122146036489752</v>
      </c>
      <c r="H132" s="11">
        <v>24.792902665748667</v>
      </c>
      <c r="I132" s="11">
        <v>18.071263451031484</v>
      </c>
    </row>
    <row r="133" ht="15.75" customHeight="1">
      <c r="A133" s="142">
        <v>400.0</v>
      </c>
      <c r="B133" s="152">
        <v>249.8545887961859</v>
      </c>
      <c r="C133" s="153">
        <v>26.8843861740167</v>
      </c>
      <c r="D133" s="11">
        <v>26.33809292245232</v>
      </c>
      <c r="E133" s="11">
        <v>26.530955783040497</v>
      </c>
      <c r="F133" s="11">
        <v>26.344741942213883</v>
      </c>
      <c r="G133" s="11">
        <v>25.126191336287345</v>
      </c>
      <c r="H133" s="11">
        <v>26.704076965181216</v>
      </c>
      <c r="I133" s="11">
        <v>18.246592381361143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21:B22"/>
    <mergeCell ref="C21:C22"/>
    <mergeCell ref="A5:I5"/>
    <mergeCell ref="A6:A7"/>
    <mergeCell ref="B6:B7"/>
    <mergeCell ref="C6:C7"/>
    <mergeCell ref="D6:I6"/>
    <mergeCell ref="A20:I20"/>
    <mergeCell ref="A21:A22"/>
    <mergeCell ref="D21:I21"/>
    <mergeCell ref="A35:I35"/>
    <mergeCell ref="A36:A37"/>
    <mergeCell ref="B36:B37"/>
    <mergeCell ref="C36:C37"/>
    <mergeCell ref="D36:I36"/>
    <mergeCell ref="A51:H51"/>
    <mergeCell ref="D52:H52"/>
    <mergeCell ref="A52:A53"/>
    <mergeCell ref="B52:B53"/>
    <mergeCell ref="C52:C53"/>
    <mergeCell ref="A66:H66"/>
    <mergeCell ref="A67:A68"/>
    <mergeCell ref="B67:B68"/>
    <mergeCell ref="C67:C68"/>
    <mergeCell ref="A98:A99"/>
    <mergeCell ref="B98:B99"/>
    <mergeCell ref="C98:C99"/>
    <mergeCell ref="D67:H67"/>
    <mergeCell ref="A81:H81"/>
    <mergeCell ref="A82:A83"/>
    <mergeCell ref="B82:B83"/>
    <mergeCell ref="C82:C83"/>
    <mergeCell ref="D82:H82"/>
    <mergeCell ref="A97:H97"/>
    <mergeCell ref="A128:A129"/>
    <mergeCell ref="B128:B129"/>
    <mergeCell ref="C128:C129"/>
    <mergeCell ref="D98:H98"/>
    <mergeCell ref="A112:H112"/>
    <mergeCell ref="A113:A114"/>
    <mergeCell ref="B113:B114"/>
    <mergeCell ref="C113:C114"/>
    <mergeCell ref="D113:H113"/>
    <mergeCell ref="A127:H127"/>
    <mergeCell ref="D128:H12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5" width="13.86"/>
    <col customWidth="1" min="6" max="6" width="8.71"/>
    <col customWidth="1" min="7" max="7" width="12.29"/>
    <col customWidth="1" min="8" max="10" width="13.86"/>
    <col customWidth="1" min="11" max="11" width="8.71"/>
    <col customWidth="1" min="12" max="12" width="12.29"/>
    <col customWidth="1" min="13" max="15" width="13.86"/>
    <col customWidth="1" min="16" max="26" width="8.71"/>
  </cols>
  <sheetData>
    <row r="1">
      <c r="A1" s="74" t="s">
        <v>77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7"/>
      <c r="R1" s="78"/>
      <c r="S1" s="78"/>
      <c r="T1" s="78"/>
      <c r="U1" s="78"/>
      <c r="V1" s="78"/>
      <c r="W1" s="78"/>
      <c r="X1" s="79"/>
      <c r="Y1" s="5"/>
    </row>
    <row r="2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2"/>
      <c r="Q2" s="83"/>
      <c r="R2" s="84"/>
      <c r="S2" s="84"/>
      <c r="T2" s="84"/>
      <c r="U2" s="84"/>
      <c r="V2" s="84"/>
      <c r="W2" s="84"/>
      <c r="X2" s="85"/>
      <c r="Y2" s="5"/>
    </row>
    <row r="3">
      <c r="A3" s="86"/>
      <c r="B3" s="87"/>
      <c r="C3" s="88">
        <v>30.0</v>
      </c>
      <c r="D3" s="88">
        <v>45.0</v>
      </c>
      <c r="E3" s="88">
        <v>15.0</v>
      </c>
      <c r="F3" s="87"/>
      <c r="G3" s="87"/>
      <c r="H3" s="88">
        <v>30.0</v>
      </c>
      <c r="I3" s="88">
        <v>45.0</v>
      </c>
      <c r="J3" s="88">
        <v>15.0</v>
      </c>
      <c r="K3" s="88"/>
      <c r="L3" s="87"/>
      <c r="M3" s="88">
        <v>15.0</v>
      </c>
      <c r="N3" s="88">
        <v>45.0</v>
      </c>
      <c r="O3" s="88">
        <v>30.0</v>
      </c>
      <c r="P3" s="87"/>
      <c r="Q3" s="77"/>
      <c r="R3" s="78"/>
      <c r="S3" s="78"/>
      <c r="T3" s="78"/>
      <c r="U3" s="78"/>
      <c r="V3" s="78"/>
      <c r="W3" s="78"/>
      <c r="X3" s="79"/>
      <c r="Y3" s="5"/>
    </row>
    <row r="4">
      <c r="A4" s="89"/>
      <c r="B4" s="90" t="s">
        <v>78</v>
      </c>
      <c r="C4" s="91"/>
      <c r="D4" s="91"/>
      <c r="E4" s="92"/>
      <c r="F4" s="21"/>
      <c r="G4" s="90" t="s">
        <v>79</v>
      </c>
      <c r="H4" s="91"/>
      <c r="I4" s="91"/>
      <c r="J4" s="92"/>
      <c r="K4" s="21"/>
      <c r="L4" s="90" t="s">
        <v>80</v>
      </c>
      <c r="M4" s="91"/>
      <c r="N4" s="91"/>
      <c r="O4" s="92"/>
      <c r="P4" s="21"/>
      <c r="Q4" s="93"/>
      <c r="R4" s="19"/>
      <c r="S4" s="19"/>
      <c r="T4" s="19"/>
      <c r="U4" s="19"/>
      <c r="V4" s="19"/>
      <c r="W4" s="19"/>
      <c r="X4" s="94"/>
      <c r="Y4" s="5"/>
    </row>
    <row r="5">
      <c r="A5" s="95"/>
      <c r="B5" s="96" t="s">
        <v>81</v>
      </c>
      <c r="C5" s="97" t="s">
        <v>82</v>
      </c>
      <c r="D5" s="98" t="s">
        <v>83</v>
      </c>
      <c r="E5" s="99" t="s">
        <v>84</v>
      </c>
      <c r="F5" s="19"/>
      <c r="G5" s="96" t="s">
        <v>81</v>
      </c>
      <c r="H5" s="97" t="s">
        <v>82</v>
      </c>
      <c r="I5" s="98" t="s">
        <v>83</v>
      </c>
      <c r="J5" s="99" t="s">
        <v>84</v>
      </c>
      <c r="K5" s="19"/>
      <c r="L5" s="96" t="s">
        <v>81</v>
      </c>
      <c r="M5" s="97" t="s">
        <v>82</v>
      </c>
      <c r="N5" s="98" t="s">
        <v>83</v>
      </c>
      <c r="O5" s="99" t="s">
        <v>84</v>
      </c>
      <c r="P5" s="19"/>
      <c r="Q5" s="100"/>
      <c r="R5" s="19"/>
      <c r="S5" s="19"/>
      <c r="T5" s="19"/>
      <c r="U5" s="19"/>
      <c r="V5" s="19"/>
      <c r="W5" s="19"/>
      <c r="X5" s="94"/>
      <c r="Y5" s="5"/>
    </row>
    <row r="6">
      <c r="A6" s="95"/>
      <c r="B6" s="101" t="s">
        <v>86</v>
      </c>
      <c r="C6" s="102">
        <f>('Isotermas PALMA'!B2)</f>
        <v>62.5</v>
      </c>
      <c r="D6" s="102">
        <f>('Isotermas PALMA'!Z2)</f>
        <v>67.56756757</v>
      </c>
      <c r="E6" s="103">
        <f>('Isotermas PALMA'!AX2)</f>
        <v>60.24096386</v>
      </c>
      <c r="F6" s="19"/>
      <c r="G6" s="101" t="s">
        <v>87</v>
      </c>
      <c r="H6" s="102">
        <f>('Isotermas PALMA'!F2)</f>
        <v>33.78378378</v>
      </c>
      <c r="I6" s="102">
        <f>('Isotermas PALMA'!AD2)</f>
        <v>44.64285714</v>
      </c>
      <c r="J6" s="103">
        <f>('Isotermas PALMA'!BB2)</f>
        <v>30.12048193</v>
      </c>
      <c r="K6" s="19"/>
      <c r="L6" s="101" t="s">
        <v>88</v>
      </c>
      <c r="M6" s="43">
        <f>('Isotermas PALMA'!J2)</f>
        <v>25.70694087</v>
      </c>
      <c r="N6" s="104">
        <f>('Isotermas PALMA'!AH2)</f>
        <v>41.49377593</v>
      </c>
      <c r="O6" s="105">
        <f>('Isotermas PALMA'!BF2)</f>
        <v>27.100271</v>
      </c>
      <c r="P6" s="19"/>
      <c r="Q6" s="100"/>
      <c r="R6" s="19"/>
      <c r="S6" s="19"/>
      <c r="T6" s="19"/>
      <c r="U6" s="19"/>
      <c r="V6" s="19"/>
      <c r="W6" s="19"/>
      <c r="X6" s="94"/>
      <c r="Y6" s="5"/>
    </row>
    <row r="7">
      <c r="A7" s="95"/>
      <c r="B7" s="101" t="s">
        <v>89</v>
      </c>
      <c r="C7" s="102">
        <f>('Isotermas PALMA'!C2)</f>
        <v>0.2610114192</v>
      </c>
      <c r="D7" s="102">
        <f>('Isotermas PALMA'!AA2)</f>
        <v>0.2517006803</v>
      </c>
      <c r="E7" s="103">
        <f>('Isotermas PALMA'!AY2)</f>
        <v>0.2730263158</v>
      </c>
      <c r="F7" s="106"/>
      <c r="G7" s="101" t="s">
        <v>90</v>
      </c>
      <c r="H7" s="102">
        <f>('Isotermas PALMA'!G2)</f>
        <v>0.06494076349</v>
      </c>
      <c r="I7" s="102">
        <f>('Isotermas PALMA'!AE2)</f>
        <v>0.3483670295</v>
      </c>
      <c r="J7" s="103">
        <f>('Isotermas PALMA'!BC2)</f>
        <v>0.04873036841</v>
      </c>
      <c r="K7" s="19"/>
      <c r="L7" s="101" t="s">
        <v>91</v>
      </c>
      <c r="M7" s="102">
        <f>('Isotermas PALMA'!K2)</f>
        <v>0.1281291173</v>
      </c>
      <c r="N7" s="107">
        <f>('Isotermas PALMA'!AI2)</f>
        <v>0.1204397801</v>
      </c>
      <c r="O7" s="103">
        <f>('Isotermas PALMA'!BG2)</f>
        <v>0.1383058471</v>
      </c>
      <c r="P7" s="19"/>
      <c r="Q7" s="100"/>
      <c r="R7" s="19"/>
      <c r="S7" s="19"/>
      <c r="T7" s="19"/>
      <c r="U7" s="19"/>
      <c r="V7" s="19"/>
      <c r="W7" s="19"/>
      <c r="X7" s="94"/>
      <c r="Y7" s="5"/>
    </row>
    <row r="8">
      <c r="A8" s="95"/>
      <c r="B8" s="101"/>
      <c r="C8" s="34"/>
      <c r="D8" s="108"/>
      <c r="E8" s="109"/>
      <c r="F8" s="19"/>
      <c r="G8" s="101"/>
      <c r="H8" s="34"/>
      <c r="I8" s="102"/>
      <c r="J8" s="109"/>
      <c r="K8" s="19"/>
      <c r="L8" s="101"/>
      <c r="M8" s="34"/>
      <c r="N8" s="107"/>
      <c r="O8" s="103"/>
      <c r="P8" s="19"/>
      <c r="Q8" s="100"/>
      <c r="R8" s="19"/>
      <c r="S8" s="19"/>
      <c r="T8" s="19"/>
      <c r="U8" s="19"/>
      <c r="V8" s="19"/>
      <c r="W8" s="19"/>
      <c r="X8" s="94"/>
      <c r="Y8" s="5"/>
    </row>
    <row r="9">
      <c r="A9" s="95"/>
      <c r="B9" s="110" t="s">
        <v>92</v>
      </c>
      <c r="C9" s="111">
        <v>0.9742</v>
      </c>
      <c r="D9" s="112">
        <v>0.9597</v>
      </c>
      <c r="E9" s="113">
        <v>0.9992</v>
      </c>
      <c r="F9" s="21"/>
      <c r="G9" s="110" t="s">
        <v>93</v>
      </c>
      <c r="H9" s="112">
        <v>0.9745</v>
      </c>
      <c r="I9" s="112">
        <v>0.9997</v>
      </c>
      <c r="J9" s="113">
        <v>0.9932</v>
      </c>
      <c r="K9" s="19"/>
      <c r="L9" s="110" t="s">
        <v>94</v>
      </c>
      <c r="M9" s="112">
        <v>0.9995</v>
      </c>
      <c r="N9" s="114">
        <v>0.9909</v>
      </c>
      <c r="O9" s="113">
        <v>0.9963</v>
      </c>
      <c r="P9" s="19"/>
      <c r="Q9" s="115"/>
      <c r="R9" s="84"/>
      <c r="S9" s="84"/>
      <c r="T9" s="84"/>
      <c r="U9" s="84"/>
      <c r="V9" s="84"/>
      <c r="W9" s="84"/>
      <c r="X9" s="85"/>
      <c r="Y9" s="5"/>
    </row>
    <row r="10">
      <c r="A10" s="95"/>
      <c r="B10" s="19"/>
      <c r="C10" s="19"/>
      <c r="D10" s="19"/>
      <c r="E10" s="25"/>
      <c r="F10" s="25"/>
      <c r="G10" s="19"/>
      <c r="H10" s="19"/>
      <c r="I10" s="19"/>
      <c r="J10" s="25"/>
      <c r="K10" s="19"/>
      <c r="L10" s="19"/>
      <c r="M10" s="19"/>
      <c r="N10" s="19"/>
      <c r="O10" s="25"/>
      <c r="P10" s="19"/>
      <c r="Q10" s="116"/>
      <c r="R10" s="78"/>
      <c r="S10" s="78"/>
      <c r="T10" s="78"/>
      <c r="U10" s="78"/>
      <c r="V10" s="78"/>
      <c r="W10" s="78"/>
      <c r="X10" s="79"/>
      <c r="Y10" s="5"/>
    </row>
    <row r="11">
      <c r="A11" s="95"/>
      <c r="B11" s="90" t="s">
        <v>95</v>
      </c>
      <c r="C11" s="91"/>
      <c r="D11" s="91"/>
      <c r="E11" s="92"/>
      <c r="F11" s="25"/>
      <c r="G11" s="90" t="s">
        <v>97</v>
      </c>
      <c r="H11" s="91"/>
      <c r="I11" s="91"/>
      <c r="J11" s="92"/>
      <c r="K11" s="19"/>
      <c r="L11" s="90" t="s">
        <v>98</v>
      </c>
      <c r="M11" s="91"/>
      <c r="N11" s="91"/>
      <c r="O11" s="92"/>
      <c r="P11" s="19"/>
      <c r="Q11" s="100"/>
      <c r="R11" s="19"/>
      <c r="S11" s="19"/>
      <c r="T11" s="19"/>
      <c r="U11" s="19"/>
      <c r="V11" s="19"/>
      <c r="W11" s="19"/>
      <c r="X11" s="94"/>
      <c r="Y11" s="5"/>
    </row>
    <row r="12">
      <c r="A12" s="95"/>
      <c r="B12" s="96" t="s">
        <v>81</v>
      </c>
      <c r="C12" s="98" t="s">
        <v>82</v>
      </c>
      <c r="D12" s="98" t="s">
        <v>83</v>
      </c>
      <c r="E12" s="99" t="s">
        <v>84</v>
      </c>
      <c r="F12" s="25"/>
      <c r="G12" s="96" t="s">
        <v>81</v>
      </c>
      <c r="H12" s="98" t="s">
        <v>82</v>
      </c>
      <c r="I12" s="98" t="s">
        <v>83</v>
      </c>
      <c r="J12" s="99" t="s">
        <v>84</v>
      </c>
      <c r="K12" s="19"/>
      <c r="L12" s="96" t="s">
        <v>81</v>
      </c>
      <c r="M12" s="98" t="s">
        <v>82</v>
      </c>
      <c r="N12" s="98" t="s">
        <v>83</v>
      </c>
      <c r="O12" s="99" t="s">
        <v>84</v>
      </c>
      <c r="P12" s="19"/>
      <c r="Q12" s="100"/>
      <c r="R12" s="19"/>
      <c r="S12" s="19"/>
      <c r="T12" s="19"/>
      <c r="U12" s="19"/>
      <c r="V12" s="19"/>
      <c r="W12" s="19"/>
      <c r="X12" s="94"/>
      <c r="Y12" s="5"/>
    </row>
    <row r="13">
      <c r="A13" s="95"/>
      <c r="B13" s="117" t="s">
        <v>99</v>
      </c>
      <c r="C13" s="43">
        <f>('Isotermas PALMA'!B15)</f>
        <v>20.45031491</v>
      </c>
      <c r="D13" s="102">
        <f>('Isotermas PALMA'!Z15)</f>
        <v>18.49268619</v>
      </c>
      <c r="E13" s="103">
        <f>('Isotermas PALMA'!AX15)</f>
        <v>19.31523516</v>
      </c>
      <c r="F13" s="25"/>
      <c r="G13" s="117" t="s">
        <v>100</v>
      </c>
      <c r="H13" s="43">
        <f>('Isotermas PALMA'!G15)</f>
        <v>14.2593589</v>
      </c>
      <c r="I13" s="102">
        <f>('Isotermas PALMA'!AE15)</f>
        <v>18.90601508</v>
      </c>
      <c r="J13" s="103">
        <f>('Isotermas PALMA'!BC15)</f>
        <v>8.01124475</v>
      </c>
      <c r="K13" s="19"/>
      <c r="L13" s="117" t="s">
        <v>101</v>
      </c>
      <c r="M13" s="43">
        <f>('Isotermas PALMA'!L15)</f>
        <v>9.792644755</v>
      </c>
      <c r="N13" s="102">
        <f>('Isotermas PALMA'!AJ15)</f>
        <v>12.90921994</v>
      </c>
      <c r="O13" s="103">
        <f>('Isotermas PALMA'!BH15)</f>
        <v>15.4276579</v>
      </c>
      <c r="P13" s="19"/>
      <c r="Q13" s="100"/>
      <c r="R13" s="19"/>
      <c r="S13" s="19"/>
      <c r="T13" s="19"/>
      <c r="U13" s="19"/>
      <c r="V13" s="19"/>
      <c r="W13" s="19"/>
      <c r="X13" s="94"/>
      <c r="Y13" s="5"/>
    </row>
    <row r="14">
      <c r="A14" s="95"/>
      <c r="B14" s="117" t="s">
        <v>102</v>
      </c>
      <c r="C14" s="102">
        <f>('Isotermas PALMA'!C15)</f>
        <v>0.2763</v>
      </c>
      <c r="D14" s="102">
        <f>('Isotermas PALMA'!AA15)</f>
        <v>0.352</v>
      </c>
      <c r="E14" s="103">
        <f>('Isotermas PALMA'!AY15)</f>
        <v>0.2795</v>
      </c>
      <c r="F14" s="25"/>
      <c r="G14" s="117" t="s">
        <v>103</v>
      </c>
      <c r="H14" s="102">
        <f>('Isotermas PALMA'!H15)</f>
        <v>0.1438</v>
      </c>
      <c r="I14" s="102">
        <f>('Isotermas PALMA'!AF15)</f>
        <v>0.1884</v>
      </c>
      <c r="J14" s="103">
        <f>('Isotermas PALMA'!BD15)</f>
        <v>0.2347</v>
      </c>
      <c r="K14" s="19"/>
      <c r="L14" s="117" t="s">
        <v>104</v>
      </c>
      <c r="M14" s="102">
        <f>('Isotermas PALMA'!M15)</f>
        <v>0.1822</v>
      </c>
      <c r="N14" s="102">
        <f>('Isotermas PALMA'!AK15)</f>
        <v>0.2332</v>
      </c>
      <c r="O14" s="103">
        <f>('Isotermas PALMA'!BI15)</f>
        <v>0.0982</v>
      </c>
      <c r="P14" s="19"/>
      <c r="Q14" s="100"/>
      <c r="R14" s="19"/>
      <c r="S14" s="19"/>
      <c r="T14" s="19"/>
      <c r="U14" s="19"/>
      <c r="V14" s="19"/>
      <c r="W14" s="19"/>
      <c r="X14" s="94"/>
      <c r="Y14" s="5"/>
    </row>
    <row r="15">
      <c r="A15" s="95"/>
      <c r="B15" s="117" t="s">
        <v>105</v>
      </c>
      <c r="C15" s="102">
        <f>('Isotermas PALMA'!D15)</f>
        <v>3.619254434</v>
      </c>
      <c r="D15" s="102">
        <f>('Isotermas PALMA'!AB15)</f>
        <v>2.840909091</v>
      </c>
      <c r="E15" s="103">
        <f>('Isotermas PALMA'!AZ15)</f>
        <v>3.577817531</v>
      </c>
      <c r="F15" s="19"/>
      <c r="G15" s="117" t="s">
        <v>106</v>
      </c>
      <c r="H15" s="102">
        <f>('Isotermas PALMA'!I15)</f>
        <v>6.954102921</v>
      </c>
      <c r="I15" s="102">
        <f>('Isotermas PALMA'!AG15)</f>
        <v>5.307855626</v>
      </c>
      <c r="J15" s="103">
        <f>('Isotermas PALMA'!BE15)</f>
        <v>4.260758415</v>
      </c>
      <c r="K15" s="19"/>
      <c r="L15" s="117" t="s">
        <v>107</v>
      </c>
      <c r="M15" s="102">
        <f>('Isotermas PALMA'!N15)</f>
        <v>5.488474204</v>
      </c>
      <c r="N15" s="102">
        <f>('Isotermas PALMA'!AL15)</f>
        <v>4.288164666</v>
      </c>
      <c r="O15" s="103">
        <f>('Isotermas PALMA'!BJ15)</f>
        <v>10.18329939</v>
      </c>
      <c r="P15" s="19"/>
      <c r="Q15" s="100"/>
      <c r="R15" s="19"/>
      <c r="S15" s="19"/>
      <c r="T15" s="19"/>
      <c r="U15" s="19"/>
      <c r="V15" s="19"/>
      <c r="W15" s="19"/>
      <c r="X15" s="94"/>
      <c r="Y15" s="5"/>
    </row>
    <row r="16">
      <c r="A16" s="95"/>
      <c r="B16" s="118" t="s">
        <v>108</v>
      </c>
      <c r="C16" s="112">
        <f>('Isotermas PALMA'!E15)</f>
        <v>0.9011</v>
      </c>
      <c r="D16" s="112">
        <f>('Isotermas PALMA'!AC15)</f>
        <v>0.9654</v>
      </c>
      <c r="E16" s="113">
        <f>('Isotermas PALMA'!BA15)</f>
        <v>0.7989</v>
      </c>
      <c r="F16" s="19"/>
      <c r="G16" s="118" t="s">
        <v>109</v>
      </c>
      <c r="H16" s="112">
        <f>('Isotermas PALMA'!J15)</f>
        <v>0.9283</v>
      </c>
      <c r="I16" s="112">
        <f>('Isotermas PALMA'!AH15)</f>
        <v>0.9452</v>
      </c>
      <c r="J16" s="113">
        <f>('Isotermas PALMA'!BF15)</f>
        <v>0.995</v>
      </c>
      <c r="K16" s="19"/>
      <c r="L16" s="118" t="s">
        <v>110</v>
      </c>
      <c r="M16" s="112">
        <f>('Isotermas PALMA'!O15)</f>
        <v>0.8847</v>
      </c>
      <c r="N16" s="112">
        <f>('Isotermas PALMA'!AM15)</f>
        <v>0.8325</v>
      </c>
      <c r="O16" s="113">
        <f>('Isotermas PALMA'!BK15)</f>
        <v>0.9935</v>
      </c>
      <c r="P16" s="19"/>
      <c r="Q16" s="115"/>
      <c r="R16" s="84"/>
      <c r="S16" s="84"/>
      <c r="T16" s="84"/>
      <c r="U16" s="84"/>
      <c r="V16" s="84"/>
      <c r="W16" s="84"/>
      <c r="X16" s="85"/>
      <c r="Y16" s="5"/>
    </row>
    <row r="17">
      <c r="A17" s="9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16"/>
      <c r="R17" s="78"/>
      <c r="S17" s="78"/>
      <c r="T17" s="78"/>
      <c r="U17" s="78"/>
      <c r="V17" s="78"/>
      <c r="W17" s="78"/>
      <c r="X17" s="79"/>
      <c r="Y17" s="5"/>
    </row>
    <row r="18">
      <c r="A18" s="95"/>
      <c r="B18" s="90" t="s">
        <v>111</v>
      </c>
      <c r="C18" s="91"/>
      <c r="D18" s="91"/>
      <c r="E18" s="92"/>
      <c r="F18" s="19"/>
      <c r="G18" s="90" t="s">
        <v>112</v>
      </c>
      <c r="H18" s="91"/>
      <c r="I18" s="91"/>
      <c r="J18" s="92"/>
      <c r="K18" s="19"/>
      <c r="L18" s="90" t="s">
        <v>113</v>
      </c>
      <c r="M18" s="91"/>
      <c r="N18" s="91"/>
      <c r="O18" s="92"/>
      <c r="P18" s="19"/>
      <c r="Q18" s="100"/>
      <c r="R18" s="19"/>
      <c r="S18" s="19"/>
      <c r="T18" s="19"/>
      <c r="U18" s="19"/>
      <c r="V18" s="19"/>
      <c r="W18" s="19"/>
      <c r="X18" s="94"/>
      <c r="Y18" s="5"/>
    </row>
    <row r="19">
      <c r="A19" s="95"/>
      <c r="B19" s="96" t="s">
        <v>81</v>
      </c>
      <c r="C19" s="98" t="s">
        <v>82</v>
      </c>
      <c r="D19" s="98" t="s">
        <v>83</v>
      </c>
      <c r="E19" s="99" t="s">
        <v>84</v>
      </c>
      <c r="F19" s="19"/>
      <c r="G19" s="96" t="s">
        <v>81</v>
      </c>
      <c r="H19" s="98" t="s">
        <v>82</v>
      </c>
      <c r="I19" s="98" t="s">
        <v>83</v>
      </c>
      <c r="J19" s="99" t="s">
        <v>84</v>
      </c>
      <c r="K19" s="19"/>
      <c r="L19" s="96" t="s">
        <v>81</v>
      </c>
      <c r="M19" s="98" t="s">
        <v>82</v>
      </c>
      <c r="N19" s="98" t="s">
        <v>83</v>
      </c>
      <c r="O19" s="99" t="s">
        <v>84</v>
      </c>
      <c r="P19" s="19"/>
      <c r="Q19" s="100"/>
      <c r="R19" s="19"/>
      <c r="S19" s="19"/>
      <c r="T19" s="19"/>
      <c r="U19" s="19"/>
      <c r="V19" s="19"/>
      <c r="W19" s="19"/>
      <c r="X19" s="94"/>
      <c r="Y19" s="5"/>
    </row>
    <row r="20">
      <c r="A20" s="95"/>
      <c r="B20" s="117" t="s">
        <v>114</v>
      </c>
      <c r="C20" s="102">
        <f>('Isotermas PALMA'!B28)</f>
        <v>7.827231964</v>
      </c>
      <c r="D20" s="102">
        <f>('Isotermas PALMA'!Z28)</f>
        <v>4.020118938</v>
      </c>
      <c r="E20" s="103">
        <f>('Isotermas PALMA'!AX28)</f>
        <v>6.132683206</v>
      </c>
      <c r="F20" s="19"/>
      <c r="G20" s="117" t="s">
        <v>115</v>
      </c>
      <c r="H20" s="102">
        <f>('Isotermas PALMA'!G28)</f>
        <v>41.13789218</v>
      </c>
      <c r="I20" s="102">
        <f>('Isotermas PALMA'!AE28)</f>
        <v>31.96353878</v>
      </c>
      <c r="J20" s="103">
        <f>('Isotermas PALMA'!BC28)</f>
        <v>1.487242282</v>
      </c>
      <c r="K20" s="19"/>
      <c r="L20" s="117" t="s">
        <v>116</v>
      </c>
      <c r="M20" s="102">
        <f>('Isotermas PALMA'!L28)</f>
        <v>6.288373436</v>
      </c>
      <c r="N20" s="102">
        <f>('Isotermas PALMA'!AJ28)</f>
        <v>2.065961545</v>
      </c>
      <c r="O20" s="103">
        <f>('Isotermas PALMA'!BH28)</f>
        <v>1124.87927</v>
      </c>
      <c r="P20" s="19"/>
      <c r="Q20" s="100"/>
      <c r="R20" s="19"/>
      <c r="S20" s="19"/>
      <c r="T20" s="19"/>
      <c r="U20" s="19"/>
      <c r="V20" s="19"/>
      <c r="W20" s="19"/>
      <c r="X20" s="94"/>
      <c r="Y20" s="5"/>
    </row>
    <row r="21" ht="15.75" customHeight="1">
      <c r="A21" s="95"/>
      <c r="B21" s="117" t="s">
        <v>117</v>
      </c>
      <c r="C21" s="102">
        <f>('Isotermas PALMA'!C28)</f>
        <v>9.7103</v>
      </c>
      <c r="D21" s="102">
        <f>('Isotermas PALMA'!AA28)</f>
        <v>12.177</v>
      </c>
      <c r="E21" s="103">
        <f>('Isotermas PALMA'!AY28)</f>
        <v>9.7914</v>
      </c>
      <c r="F21" s="19"/>
      <c r="G21" s="117" t="s">
        <v>117</v>
      </c>
      <c r="H21" s="102">
        <f>('Isotermas PALMA'!H28)</f>
        <v>3.3716</v>
      </c>
      <c r="I21" s="102">
        <f>('Isotermas PALMA'!AF28)</f>
        <v>5.4471</v>
      </c>
      <c r="J21" s="103">
        <f>('Isotermas PALMA'!BD28)</f>
        <v>4.8173</v>
      </c>
      <c r="K21" s="19"/>
      <c r="L21" s="117" t="s">
        <v>117</v>
      </c>
      <c r="M21" s="102">
        <f>('Isotermas PALMA'!M28)</f>
        <v>3.5667</v>
      </c>
      <c r="N21" s="102">
        <f>('Isotermas PALMA'!AK28)</f>
        <v>6.3211</v>
      </c>
      <c r="O21" s="103">
        <f>('Isotermas PALMA'!BI28)</f>
        <v>2.0998</v>
      </c>
      <c r="P21" s="19"/>
      <c r="Q21" s="100"/>
      <c r="R21" s="19"/>
      <c r="S21" s="19"/>
      <c r="T21" s="19"/>
      <c r="U21" s="19"/>
      <c r="V21" s="19"/>
      <c r="W21" s="19"/>
      <c r="X21" s="94"/>
      <c r="Y21" s="5"/>
    </row>
    <row r="22" ht="15.75" customHeight="1">
      <c r="A22" s="95"/>
      <c r="B22" s="117" t="s">
        <v>118</v>
      </c>
      <c r="C22" s="43">
        <f>('Isotermas PALMA'!D28)</f>
        <v>246.7152508</v>
      </c>
      <c r="D22" s="102">
        <f>('Isotermas PALMA'!AB28)</f>
        <v>206.9794777</v>
      </c>
      <c r="E22" s="103">
        <f>('Isotermas PALMA'!AZ28)</f>
        <v>270.1451376</v>
      </c>
      <c r="F22" s="19"/>
      <c r="G22" s="117" t="s">
        <v>119</v>
      </c>
      <c r="H22" s="102">
        <f>('Isotermas PALMA'!I28)</f>
        <v>710.5466544</v>
      </c>
      <c r="I22" s="102">
        <f>('Isotermas PALMA'!AG28)</f>
        <v>462.7029245</v>
      </c>
      <c r="J22" s="103">
        <f>('Isotermas PALMA'!BE28)</f>
        <v>549.0833247</v>
      </c>
      <c r="K22" s="19"/>
      <c r="L22" s="117" t="s">
        <v>120</v>
      </c>
      <c r="M22" s="102">
        <f>('Isotermas PALMA'!N28)</f>
        <v>671.6794516</v>
      </c>
      <c r="N22" s="102">
        <f>('Isotermas PALMA'!AL28)</f>
        <v>398.7263451</v>
      </c>
      <c r="O22" s="103">
        <f>('Isotermas PALMA'!BJ28)</f>
        <v>1259.690971</v>
      </c>
      <c r="P22" s="19"/>
      <c r="Q22" s="100"/>
      <c r="R22" s="19"/>
      <c r="S22" s="19"/>
      <c r="T22" s="19"/>
      <c r="U22" s="19"/>
      <c r="V22" s="19"/>
      <c r="W22" s="19"/>
      <c r="X22" s="94"/>
      <c r="Y22" s="5"/>
    </row>
    <row r="23" ht="15.75" customHeight="1">
      <c r="A23" s="95"/>
      <c r="B23" s="118" t="s">
        <v>121</v>
      </c>
      <c r="C23" s="112">
        <f>('Isotermas PALMA'!E28)</f>
        <v>0.9326</v>
      </c>
      <c r="D23" s="112">
        <f>('Isotermas PALMA'!AC28)</f>
        <v>0.9078</v>
      </c>
      <c r="E23" s="113">
        <f>('Isotermas PALMA'!BA28)</f>
        <v>0.9015</v>
      </c>
      <c r="F23" s="19"/>
      <c r="G23" s="118" t="s">
        <v>122</v>
      </c>
      <c r="H23" s="112">
        <f>('Isotermas PALMA'!J28)</f>
        <v>0.876</v>
      </c>
      <c r="I23" s="112">
        <f>('Isotermas PALMA'!AH28)</f>
        <v>0.9746</v>
      </c>
      <c r="J23" s="113">
        <f>('Isotermas PALMA'!BF28)</f>
        <v>0.9868</v>
      </c>
      <c r="K23" s="19"/>
      <c r="L23" s="118" t="s">
        <v>123</v>
      </c>
      <c r="M23" s="112">
        <f>('Isotermas PALMA'!O28)</f>
        <v>0.8915</v>
      </c>
      <c r="N23" s="112">
        <f>('Isotermas PALMA'!AM28)</f>
        <v>0.8764</v>
      </c>
      <c r="O23" s="113">
        <f>('Isotermas PALMA'!BK28)</f>
        <v>0.9872</v>
      </c>
      <c r="P23" s="19"/>
      <c r="Q23" s="115"/>
      <c r="R23" s="84"/>
      <c r="S23" s="84"/>
      <c r="T23" s="84"/>
      <c r="U23" s="84"/>
      <c r="V23" s="84"/>
      <c r="W23" s="84"/>
      <c r="X23" s="85"/>
      <c r="Y23" s="5"/>
    </row>
    <row r="24" ht="15.75" customHeight="1">
      <c r="A24" s="9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6"/>
      <c r="R24" s="78"/>
      <c r="S24" s="78"/>
      <c r="T24" s="78"/>
      <c r="U24" s="78"/>
      <c r="V24" s="78"/>
      <c r="W24" s="78"/>
      <c r="X24" s="79"/>
      <c r="Y24" s="5"/>
    </row>
    <row r="25" ht="15.75" customHeight="1">
      <c r="A25" s="95"/>
      <c r="B25" s="90" t="s">
        <v>124</v>
      </c>
      <c r="C25" s="91"/>
      <c r="D25" s="91"/>
      <c r="E25" s="92"/>
      <c r="F25" s="19"/>
      <c r="G25" s="90" t="s">
        <v>125</v>
      </c>
      <c r="H25" s="91"/>
      <c r="I25" s="91"/>
      <c r="J25" s="92"/>
      <c r="K25" s="19"/>
      <c r="L25" s="90" t="s">
        <v>126</v>
      </c>
      <c r="M25" s="91"/>
      <c r="N25" s="91"/>
      <c r="O25" s="92"/>
      <c r="P25" s="19"/>
      <c r="Q25" s="100"/>
      <c r="R25" s="19"/>
      <c r="S25" s="19"/>
      <c r="T25" s="19"/>
      <c r="U25" s="19"/>
      <c r="V25" s="19"/>
      <c r="W25" s="19"/>
      <c r="X25" s="94"/>
      <c r="Y25" s="5"/>
    </row>
    <row r="26" ht="15.75" customHeight="1">
      <c r="A26" s="95"/>
      <c r="B26" s="96" t="s">
        <v>81</v>
      </c>
      <c r="C26" s="98" t="s">
        <v>82</v>
      </c>
      <c r="D26" s="98" t="s">
        <v>83</v>
      </c>
      <c r="E26" s="99" t="s">
        <v>84</v>
      </c>
      <c r="F26" s="19"/>
      <c r="G26" s="96" t="s">
        <v>81</v>
      </c>
      <c r="H26" s="98" t="s">
        <v>82</v>
      </c>
      <c r="I26" s="98" t="s">
        <v>83</v>
      </c>
      <c r="J26" s="99" t="s">
        <v>84</v>
      </c>
      <c r="K26" s="19"/>
      <c r="L26" s="96" t="s">
        <v>81</v>
      </c>
      <c r="M26" s="98" t="s">
        <v>82</v>
      </c>
      <c r="N26" s="98" t="s">
        <v>83</v>
      </c>
      <c r="O26" s="99" t="s">
        <v>84</v>
      </c>
      <c r="P26" s="19"/>
      <c r="Q26" s="100"/>
      <c r="R26" s="19"/>
      <c r="S26" s="19"/>
      <c r="T26" s="19"/>
      <c r="U26" s="19"/>
      <c r="V26" s="19"/>
      <c r="W26" s="19"/>
      <c r="X26" s="94"/>
      <c r="Y26" s="5"/>
    </row>
    <row r="27" ht="15.75" customHeight="1">
      <c r="A27" s="95"/>
      <c r="B27" s="117" t="s">
        <v>127</v>
      </c>
      <c r="C27" s="102">
        <f>('Isotermas PALMA'!B41)</f>
        <v>50.59739031</v>
      </c>
      <c r="D27" s="102">
        <f>('Isotermas PALMA'!Z41)</f>
        <v>52.42586099</v>
      </c>
      <c r="E27" s="103">
        <f>('Isotermas PALMA'!AX41)</f>
        <v>52.62545826</v>
      </c>
      <c r="F27" s="19"/>
      <c r="G27" s="117" t="s">
        <v>128</v>
      </c>
      <c r="H27" s="102">
        <f>('Isotermas PALMA'!G41)</f>
        <v>28.3832732</v>
      </c>
      <c r="I27" s="102">
        <f>('Isotermas PALMA'!AE41)</f>
        <v>40.80889205</v>
      </c>
      <c r="J27" s="103">
        <f>('Isotermas PALMA'!BC41)</f>
        <v>25.88594093</v>
      </c>
      <c r="K27" s="19"/>
      <c r="L27" s="117" t="s">
        <v>129</v>
      </c>
      <c r="M27" s="102">
        <f>('Isotermas PALMA'!L41)</f>
        <v>24.69004189</v>
      </c>
      <c r="N27" s="102">
        <f>('Isotermas PALMA'!AJ41)</f>
        <v>37.3189037</v>
      </c>
      <c r="O27" s="103">
        <f>('Isotermas PALMA'!BH41)</f>
        <v>25.12843315</v>
      </c>
      <c r="P27" s="19"/>
      <c r="Q27" s="100"/>
      <c r="R27" s="19"/>
      <c r="S27" s="19"/>
      <c r="T27" s="19"/>
      <c r="U27" s="19"/>
      <c r="V27" s="19"/>
      <c r="W27" s="19"/>
      <c r="X27" s="94"/>
      <c r="Y27" s="5"/>
    </row>
    <row r="28" ht="15.75" customHeight="1">
      <c r="A28" s="95"/>
      <c r="B28" s="117" t="s">
        <v>130</v>
      </c>
      <c r="C28" s="119">
        <f>('Isotermas PALMA'!C41)</f>
        <v>0.0000004</v>
      </c>
      <c r="D28" s="119">
        <f>('Isotermas PALMA'!AA41)</f>
        <v>0.0000004</v>
      </c>
      <c r="E28" s="120">
        <f>('Isotermas PALMA'!AY41)</f>
        <v>0.0000008</v>
      </c>
      <c r="F28" s="19"/>
      <c r="G28" s="117" t="s">
        <v>131</v>
      </c>
      <c r="H28" s="119">
        <f>('Isotermas PALMA'!H41)</f>
        <v>0.000001</v>
      </c>
      <c r="I28" s="119">
        <f>('Isotermas PALMA'!AF41)</f>
        <v>0.0000003</v>
      </c>
      <c r="J28" s="120">
        <f>('Isotermas PALMA'!BD41)</f>
        <v>0.00002</v>
      </c>
      <c r="K28" s="19"/>
      <c r="L28" s="117" t="s">
        <v>132</v>
      </c>
      <c r="M28" s="119">
        <f>('Isotermas PALMA'!M41)</f>
        <v>0.00002</v>
      </c>
      <c r="N28" s="119">
        <f>('Isotermas PALMA'!AK41)</f>
        <v>0.000005</v>
      </c>
      <c r="O28" s="120">
        <f>('Isotermas PALMA'!BI41)</f>
        <v>0.0000008</v>
      </c>
      <c r="P28" s="19"/>
      <c r="Q28" s="100"/>
      <c r="R28" s="19"/>
      <c r="S28" s="19"/>
      <c r="T28" s="19"/>
      <c r="U28" s="19"/>
      <c r="V28" s="19"/>
      <c r="W28" s="19"/>
      <c r="X28" s="94"/>
      <c r="Y28" s="5"/>
    </row>
    <row r="29" ht="15.75" customHeight="1">
      <c r="A29" s="95"/>
      <c r="B29" s="117" t="s">
        <v>133</v>
      </c>
      <c r="C29" s="43">
        <f>('Isotermas PALMA'!D41)</f>
        <v>1118.033989</v>
      </c>
      <c r="D29" s="102">
        <f>('Isotermas PALMA'!AB41)</f>
        <v>1118.033989</v>
      </c>
      <c r="E29" s="103">
        <f>('Isotermas PALMA'!AZ41)</f>
        <v>790.569415</v>
      </c>
      <c r="F29" s="19"/>
      <c r="G29" s="117" t="s">
        <v>133</v>
      </c>
      <c r="H29" s="102">
        <f>('Isotermas PALMA'!I41)</f>
        <v>707.1067812</v>
      </c>
      <c r="I29" s="102">
        <f>('Isotermas PALMA'!AG41)</f>
        <v>1290.994449</v>
      </c>
      <c r="J29" s="103">
        <f>('Isotermas PALMA'!BE41)</f>
        <v>158.113883</v>
      </c>
      <c r="K29" s="19"/>
      <c r="L29" s="117" t="s">
        <v>133</v>
      </c>
      <c r="M29" s="102">
        <f>('Isotermas PALMA'!N41)</f>
        <v>158.113883</v>
      </c>
      <c r="N29" s="102">
        <f>('Isotermas PALMA'!AL41)</f>
        <v>316.227766</v>
      </c>
      <c r="O29" s="109">
        <f>('Isotermas PALMA'!BJ41)</f>
        <v>790.569415</v>
      </c>
      <c r="P29" s="19"/>
      <c r="Q29" s="100"/>
      <c r="R29" s="19"/>
      <c r="S29" s="19"/>
      <c r="T29" s="19"/>
      <c r="U29" s="19"/>
      <c r="V29" s="19"/>
      <c r="W29" s="19"/>
      <c r="X29" s="94"/>
      <c r="Y29" s="5"/>
    </row>
    <row r="30" ht="15.75" customHeight="1">
      <c r="A30" s="95"/>
      <c r="B30" s="118" t="s">
        <v>134</v>
      </c>
      <c r="C30" s="112">
        <f>('Isotermas PALMA'!E41)</f>
        <v>0.9147</v>
      </c>
      <c r="D30" s="112">
        <f>('Isotermas PALMA'!AC41)</f>
        <v>0.8776</v>
      </c>
      <c r="E30" s="113">
        <f>('Isotermas PALMA'!BA41)</f>
        <v>0.9833</v>
      </c>
      <c r="F30" s="19"/>
      <c r="G30" s="118" t="s">
        <v>135</v>
      </c>
      <c r="H30" s="112">
        <f>('Isotermas PALMA'!J41)</f>
        <v>0.787</v>
      </c>
      <c r="I30" s="112">
        <f>('Isotermas PALMA'!AH41)</f>
        <v>0.9645</v>
      </c>
      <c r="J30" s="113">
        <f>('Isotermas PALMA'!BF41)</f>
        <v>0.9215</v>
      </c>
      <c r="K30" s="19"/>
      <c r="L30" s="118" t="s">
        <v>136</v>
      </c>
      <c r="M30" s="112">
        <f>('Isotermas PALMA'!O41)</f>
        <v>0.9995</v>
      </c>
      <c r="N30" s="112">
        <f>('Isotermas PALMA'!AM41)</f>
        <v>0.9681</v>
      </c>
      <c r="O30" s="113">
        <f>('Isotermas PALMA'!BK41)</f>
        <v>0.9314</v>
      </c>
      <c r="P30" s="19"/>
      <c r="Q30" s="115"/>
      <c r="R30" s="84"/>
      <c r="S30" s="84"/>
      <c r="T30" s="84"/>
      <c r="U30" s="84"/>
      <c r="V30" s="84"/>
      <c r="W30" s="84"/>
      <c r="X30" s="85"/>
      <c r="Y30" s="5"/>
    </row>
    <row r="31" ht="15.75" customHeight="1">
      <c r="A31" s="9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94"/>
      <c r="Q31" s="19"/>
      <c r="R31" s="19"/>
      <c r="S31" s="19"/>
      <c r="T31" s="19"/>
      <c r="U31" s="19"/>
      <c r="V31" s="19"/>
      <c r="W31" s="19"/>
      <c r="X31" s="79"/>
      <c r="Y31" s="5"/>
    </row>
    <row r="32" ht="15.75" customHeight="1">
      <c r="A32" s="95"/>
      <c r="B32" s="90" t="s">
        <v>137</v>
      </c>
      <c r="C32" s="91"/>
      <c r="D32" s="91"/>
      <c r="E32" s="92"/>
      <c r="F32" s="19"/>
      <c r="G32" s="90" t="s">
        <v>138</v>
      </c>
      <c r="H32" s="91"/>
      <c r="I32" s="91"/>
      <c r="J32" s="92"/>
      <c r="K32" s="19"/>
      <c r="L32" s="90" t="s">
        <v>139</v>
      </c>
      <c r="M32" s="91"/>
      <c r="N32" s="91"/>
      <c r="O32" s="92"/>
      <c r="P32" s="94"/>
      <c r="Q32" s="19"/>
      <c r="R32" s="19"/>
      <c r="S32" s="19"/>
      <c r="T32" s="19"/>
      <c r="U32" s="19"/>
      <c r="V32" s="19"/>
      <c r="W32" s="19"/>
      <c r="X32" s="94"/>
      <c r="Y32" s="5"/>
    </row>
    <row r="33" ht="15.75" customHeight="1">
      <c r="A33" s="95"/>
      <c r="B33" s="96" t="s">
        <v>81</v>
      </c>
      <c r="C33" s="98" t="s">
        <v>82</v>
      </c>
      <c r="D33" s="98" t="s">
        <v>83</v>
      </c>
      <c r="E33" s="99" t="s">
        <v>84</v>
      </c>
      <c r="F33" s="19"/>
      <c r="G33" s="121" t="s">
        <v>81</v>
      </c>
      <c r="H33" s="122" t="s">
        <v>82</v>
      </c>
      <c r="I33" s="123" t="s">
        <v>83</v>
      </c>
      <c r="J33" s="99" t="s">
        <v>84</v>
      </c>
      <c r="K33" s="19"/>
      <c r="L33" s="96" t="s">
        <v>81</v>
      </c>
      <c r="M33" s="98" t="s">
        <v>82</v>
      </c>
      <c r="N33" s="98" t="s">
        <v>83</v>
      </c>
      <c r="O33" s="99" t="s">
        <v>84</v>
      </c>
      <c r="P33" s="19"/>
      <c r="Q33" s="100"/>
      <c r="R33" s="19"/>
      <c r="S33" s="19"/>
      <c r="T33" s="19"/>
      <c r="U33" s="19"/>
      <c r="V33" s="19"/>
      <c r="W33" s="19"/>
      <c r="X33" s="94"/>
      <c r="Y33" s="5"/>
    </row>
    <row r="34" ht="15.75" customHeight="1">
      <c r="A34" s="95"/>
      <c r="B34" s="124" t="s">
        <v>140</v>
      </c>
      <c r="C34" s="43">
        <f>('Isotermas PALMA'!B123)</f>
        <v>0.0015</v>
      </c>
      <c r="D34" s="43">
        <f>('Isotermas PALMA'!Z123)</f>
        <v>0.0018</v>
      </c>
      <c r="E34" s="125">
        <f>('Isotermas PALMA'!AX123)</f>
        <v>0.0015</v>
      </c>
      <c r="F34" s="19"/>
      <c r="G34" s="124" t="s">
        <v>141</v>
      </c>
      <c r="H34" s="43">
        <f>('Isotermas PALMA'!G123)</f>
        <v>0.0013</v>
      </c>
      <c r="I34" s="126">
        <f>('Isotermas PALMA'!AE123)</f>
        <v>0.0013</v>
      </c>
      <c r="J34" s="125">
        <f>('Isotermas PALMA'!BC123)</f>
        <v>-0.0028</v>
      </c>
      <c r="K34" s="19"/>
      <c r="L34" s="124" t="s">
        <v>142</v>
      </c>
      <c r="M34" s="43">
        <f>('Isotermas PALMA'!L123)</f>
        <v>0.0023</v>
      </c>
      <c r="N34" s="126">
        <f>('Isotermas PALMA'!AJ123)</f>
        <v>0.0018</v>
      </c>
      <c r="O34" s="125">
        <f>('Isotermas PALMA'!BH123)</f>
        <v>0.001</v>
      </c>
      <c r="P34" s="19"/>
      <c r="Q34" s="100"/>
      <c r="R34" s="19"/>
      <c r="S34" s="19"/>
      <c r="T34" s="19"/>
      <c r="U34" s="19"/>
      <c r="V34" s="19"/>
      <c r="W34" s="19"/>
      <c r="X34" s="94"/>
      <c r="Y34" s="5"/>
    </row>
    <row r="35" ht="15.75" customHeight="1">
      <c r="A35" s="95"/>
      <c r="B35" s="101" t="s">
        <v>143</v>
      </c>
      <c r="C35" s="43">
        <f>('Isotermas PALMA'!C123)</f>
        <v>666.6666667</v>
      </c>
      <c r="D35" s="43">
        <f>('Isotermas PALMA'!AA123)</f>
        <v>555.5555556</v>
      </c>
      <c r="E35" s="125">
        <f>('Isotermas PALMA'!AY123)</f>
        <v>666.6666667</v>
      </c>
      <c r="F35" s="19"/>
      <c r="G35" s="101" t="s">
        <v>144</v>
      </c>
      <c r="H35" s="43">
        <f>('Isotermas PALMA'!H123)</f>
        <v>769.2307692</v>
      </c>
      <c r="I35" s="126">
        <f>('Isotermas PALMA'!AF123)</f>
        <v>769.2307692</v>
      </c>
      <c r="J35" s="125">
        <f>('Isotermas PALMA'!BD123)</f>
        <v>357.1428571</v>
      </c>
      <c r="K35" s="19"/>
      <c r="L35" s="101" t="s">
        <v>145</v>
      </c>
      <c r="M35" s="43">
        <f>('Isotermas PALMA'!M123)</f>
        <v>434.7826087</v>
      </c>
      <c r="N35" s="126">
        <f>('Isotermas PALMA'!AK123)</f>
        <v>555.5555556</v>
      </c>
      <c r="O35" s="125">
        <f>('Isotermas PALMA'!BI123)</f>
        <v>1000</v>
      </c>
      <c r="P35" s="19"/>
      <c r="Q35" s="100"/>
      <c r="R35" s="19"/>
      <c r="S35" s="19"/>
      <c r="T35" s="19"/>
      <c r="U35" s="19"/>
      <c r="V35" s="19"/>
      <c r="W35" s="19"/>
      <c r="X35" s="94"/>
      <c r="Y35" s="5"/>
    </row>
    <row r="36" ht="15.75" customHeight="1">
      <c r="A36" s="95"/>
      <c r="B36" s="101" t="s">
        <v>146</v>
      </c>
      <c r="C36" s="43">
        <f>('Isotermas PALMA'!D123)</f>
        <v>1.666666667</v>
      </c>
      <c r="D36" s="43">
        <f>('Isotermas PALMA'!AB123)</f>
        <v>1.555555556</v>
      </c>
      <c r="E36" s="125">
        <f>('Isotermas PALMA'!AZ123)</f>
        <v>1.8</v>
      </c>
      <c r="F36" s="19"/>
      <c r="G36" s="101" t="s">
        <v>147</v>
      </c>
      <c r="H36" s="43">
        <f>('Isotermas PALMA'!I123)</f>
        <v>3.076923077</v>
      </c>
      <c r="I36" s="126">
        <f>('Isotermas PALMA'!AG123)</f>
        <v>2.230769231</v>
      </c>
      <c r="J36" s="125">
        <f>('Isotermas PALMA'!BE123)</f>
        <v>2.714285714</v>
      </c>
      <c r="K36" s="19"/>
      <c r="L36" s="101" t="s">
        <v>148</v>
      </c>
      <c r="M36" s="43">
        <f>('Isotermas PALMA'!N123)</f>
        <v>2.913043478</v>
      </c>
      <c r="N36" s="126">
        <f>('Isotermas PALMA'!AL123)</f>
        <v>2.333333333</v>
      </c>
      <c r="O36" s="125">
        <f>('Isotermas PALMA'!BJ123)</f>
        <v>3.8</v>
      </c>
      <c r="P36" s="19"/>
      <c r="Q36" s="100"/>
      <c r="R36" s="19"/>
      <c r="S36" s="19"/>
      <c r="T36" s="19"/>
      <c r="U36" s="19"/>
      <c r="V36" s="19"/>
      <c r="W36" s="19"/>
      <c r="X36" s="94"/>
      <c r="Y36" s="5"/>
    </row>
    <row r="37" ht="15.75" customHeight="1">
      <c r="A37" s="95"/>
      <c r="B37" s="110" t="s">
        <v>149</v>
      </c>
      <c r="C37" s="111">
        <f>('Isotermas PALMA'!E123)</f>
        <v>0.758</v>
      </c>
      <c r="D37" s="111">
        <f>('Isotermas PALMA'!AC123)</f>
        <v>0.8704</v>
      </c>
      <c r="E37" s="127">
        <f>('Isotermas PALMA'!BA123)</f>
        <v>0.6155</v>
      </c>
      <c r="F37" s="19"/>
      <c r="G37" s="110" t="s">
        <v>150</v>
      </c>
      <c r="H37" s="111">
        <f>('Isotermas PALMA'!J123)</f>
        <v>0.9874</v>
      </c>
      <c r="I37" s="128">
        <f>('Isotermas PALMA'!AH123)</f>
        <v>0.8846</v>
      </c>
      <c r="J37" s="127">
        <f>('Isotermas PALMA'!BF123)</f>
        <v>0.9866</v>
      </c>
      <c r="K37" s="19"/>
      <c r="L37" s="110" t="s">
        <v>151</v>
      </c>
      <c r="M37" s="111">
        <f>('Isotermas PALMA'!O123)</f>
        <v>0.8737</v>
      </c>
      <c r="N37" s="128">
        <f>('Isotermas PALMA'!AM123)</f>
        <v>0.74</v>
      </c>
      <c r="O37" s="127">
        <f>('Isotermas PALMA'!BK123)</f>
        <v>0.992</v>
      </c>
      <c r="P37" s="19"/>
      <c r="Q37" s="100"/>
      <c r="R37" s="19"/>
      <c r="S37" s="19"/>
      <c r="T37" s="19"/>
      <c r="U37" s="19"/>
      <c r="V37" s="19"/>
      <c r="W37" s="19"/>
      <c r="X37" s="94"/>
      <c r="Y37" s="5"/>
    </row>
    <row r="38" ht="15.75" customHeight="1">
      <c r="A38" s="9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6"/>
      <c r="R38" s="78"/>
      <c r="S38" s="78"/>
      <c r="T38" s="78"/>
      <c r="U38" s="78"/>
      <c r="V38" s="78"/>
      <c r="W38" s="78"/>
      <c r="X38" s="79"/>
      <c r="Y38" s="5"/>
    </row>
    <row r="39" ht="15.75" customHeight="1">
      <c r="A39" s="95"/>
      <c r="B39" s="90" t="s">
        <v>152</v>
      </c>
      <c r="C39" s="91"/>
      <c r="D39" s="91"/>
      <c r="E39" s="92"/>
      <c r="F39" s="19"/>
      <c r="G39" s="90" t="s">
        <v>153</v>
      </c>
      <c r="H39" s="91"/>
      <c r="I39" s="91"/>
      <c r="J39" s="92"/>
      <c r="K39" s="19"/>
      <c r="L39" s="90" t="s">
        <v>154</v>
      </c>
      <c r="M39" s="91"/>
      <c r="N39" s="91"/>
      <c r="O39" s="92"/>
      <c r="P39" s="19"/>
      <c r="Q39" s="100"/>
      <c r="R39" s="19"/>
      <c r="S39" s="19"/>
      <c r="T39" s="19"/>
      <c r="U39" s="19"/>
      <c r="V39" s="19"/>
      <c r="W39" s="19"/>
      <c r="X39" s="94"/>
      <c r="Y39" s="5"/>
    </row>
    <row r="40" ht="15.75" customHeight="1">
      <c r="A40" s="95"/>
      <c r="B40" s="96" t="s">
        <v>81</v>
      </c>
      <c r="C40" s="98" t="s">
        <v>82</v>
      </c>
      <c r="D40" s="98" t="s">
        <v>83</v>
      </c>
      <c r="E40" s="99" t="s">
        <v>84</v>
      </c>
      <c r="F40" s="19"/>
      <c r="G40" s="96" t="s">
        <v>81</v>
      </c>
      <c r="H40" s="98" t="s">
        <v>82</v>
      </c>
      <c r="I40" s="98" t="s">
        <v>83</v>
      </c>
      <c r="J40" s="99" t="s">
        <v>84</v>
      </c>
      <c r="K40" s="19"/>
      <c r="L40" s="96" t="s">
        <v>81</v>
      </c>
      <c r="M40" s="98" t="s">
        <v>82</v>
      </c>
      <c r="N40" s="98" t="s">
        <v>83</v>
      </c>
      <c r="O40" s="99" t="s">
        <v>84</v>
      </c>
      <c r="P40" s="19"/>
      <c r="Q40" s="100"/>
      <c r="R40" s="19"/>
      <c r="S40" s="19"/>
      <c r="T40" s="19"/>
      <c r="U40" s="19"/>
      <c r="V40" s="19"/>
      <c r="W40" s="19"/>
      <c r="X40" s="94"/>
      <c r="Y40" s="5"/>
    </row>
    <row r="41" ht="15.75" customHeight="1">
      <c r="A41" s="95"/>
      <c r="B41" s="117" t="s">
        <v>155</v>
      </c>
      <c r="C41" s="43">
        <f>('Isotermas PALMA'!B193)</f>
        <v>-0.2763</v>
      </c>
      <c r="D41" s="43">
        <f>('Isotermas PALMA'!Z193)</f>
        <v>-0.352</v>
      </c>
      <c r="E41" s="125">
        <f>('Isotermas PALMA'!AX193)</f>
        <v>-0.2795</v>
      </c>
      <c r="F41" s="19"/>
      <c r="G41" s="117" t="s">
        <v>156</v>
      </c>
      <c r="H41" s="43">
        <f>('Isotermas PALMA'!G193)</f>
        <v>-0.1438</v>
      </c>
      <c r="I41" s="43">
        <f>('Isotermas PALMA'!AE193)</f>
        <v>-0.1884</v>
      </c>
      <c r="J41" s="125">
        <f>('Isotermas PALMA'!BC193)</f>
        <v>-0.2347</v>
      </c>
      <c r="K41" s="19"/>
      <c r="L41" s="117" t="s">
        <v>157</v>
      </c>
      <c r="M41" s="43">
        <f>('Isotermas PALMA'!L193)</f>
        <v>-0.1822</v>
      </c>
      <c r="N41" s="43">
        <f>('Isotermas PALMA'!AJ193)</f>
        <v>-0.2332</v>
      </c>
      <c r="O41" s="125">
        <f>('Isotermas PALMA'!BH193)</f>
        <v>-0.0982</v>
      </c>
      <c r="P41" s="19"/>
      <c r="Q41" s="100"/>
      <c r="R41" s="19"/>
      <c r="S41" s="19"/>
      <c r="T41" s="19"/>
      <c r="U41" s="19"/>
      <c r="V41" s="19"/>
      <c r="W41" s="19"/>
      <c r="X41" s="94"/>
      <c r="Y41" s="5"/>
    </row>
    <row r="42" ht="15.75" customHeight="1">
      <c r="A42" s="95"/>
      <c r="B42" s="117" t="s">
        <v>158</v>
      </c>
      <c r="C42" s="43">
        <f>('Isotermas PALMA'!C193)</f>
        <v>-3.619254434</v>
      </c>
      <c r="D42" s="43">
        <f>('Isotermas PALMA'!AA193)</f>
        <v>-2.840909091</v>
      </c>
      <c r="E42" s="125">
        <f>('Isotermas PALMA'!AY193)</f>
        <v>-3.577817531</v>
      </c>
      <c r="F42" s="19"/>
      <c r="G42" s="117" t="s">
        <v>159</v>
      </c>
      <c r="H42" s="43">
        <f>('Isotermas PALMA'!H193)</f>
        <v>-6.954102921</v>
      </c>
      <c r="I42" s="43">
        <f>('Isotermas PALMA'!AF193)</f>
        <v>-5.307855626</v>
      </c>
      <c r="J42" s="125">
        <f>('Isotermas PALMA'!BD193)</f>
        <v>-4.260758415</v>
      </c>
      <c r="K42" s="19"/>
      <c r="L42" s="117" t="s">
        <v>160</v>
      </c>
      <c r="M42" s="43">
        <f>('Isotermas PALMA'!M193)</f>
        <v>-5.488474204</v>
      </c>
      <c r="N42" s="43">
        <f>('Isotermas PALMA'!AK193)</f>
        <v>-4.288164666</v>
      </c>
      <c r="O42" s="125">
        <f>('Isotermas PALMA'!BI193)</f>
        <v>-10.18329939</v>
      </c>
      <c r="P42" s="19"/>
      <c r="Q42" s="100"/>
      <c r="R42" s="19"/>
      <c r="S42" s="19"/>
      <c r="T42" s="19"/>
      <c r="U42" s="19"/>
      <c r="V42" s="19"/>
      <c r="W42" s="19"/>
      <c r="X42" s="94"/>
      <c r="Y42" s="5"/>
    </row>
    <row r="43" ht="15.75" customHeight="1">
      <c r="A43" s="95"/>
      <c r="B43" s="117" t="s">
        <v>161</v>
      </c>
      <c r="C43" s="129">
        <f>('Isotermas PALMA'!D193)</f>
        <v>0.00001803363728</v>
      </c>
      <c r="D43" s="129">
        <f>('Isotermas PALMA'!AB193)</f>
        <v>0.0002514284071</v>
      </c>
      <c r="E43" s="130">
        <f>('Isotermas PALMA'!AZ193)</f>
        <v>0.00002507698842</v>
      </c>
      <c r="F43" s="19"/>
      <c r="G43" s="117" t="s">
        <v>162</v>
      </c>
      <c r="H43" s="129">
        <f>('Isotermas PALMA'!I193)</f>
        <v>0.000000009419079113</v>
      </c>
      <c r="I43" s="129">
        <f>('Isotermas PALMA'!AG193)</f>
        <v>0.0000001675622642</v>
      </c>
      <c r="J43" s="130">
        <f>('Isotermas PALMA'!BE193)</f>
        <v>0.0001411360682</v>
      </c>
      <c r="K43" s="19"/>
      <c r="L43" s="117" t="s">
        <v>163</v>
      </c>
      <c r="M43" s="129">
        <f>('Isotermas PALMA'!N193)</f>
        <v>0.00000364372975</v>
      </c>
      <c r="N43" s="129">
        <f>('Isotermas PALMA'!AL193)</f>
        <v>0.00001722540525</v>
      </c>
      <c r="O43" s="130">
        <f>('Isotermas PALMA'!BJ193)</f>
        <v>0</v>
      </c>
      <c r="P43" s="19"/>
      <c r="Q43" s="100"/>
      <c r="R43" s="19"/>
      <c r="S43" s="19"/>
      <c r="T43" s="19"/>
      <c r="U43" s="19"/>
      <c r="V43" s="19"/>
      <c r="W43" s="19"/>
      <c r="X43" s="94"/>
      <c r="Y43" s="5"/>
    </row>
    <row r="44" ht="15.75" customHeight="1">
      <c r="A44" s="95"/>
      <c r="B44" s="118" t="s">
        <v>164</v>
      </c>
      <c r="C44" s="111">
        <f>('Isotermas PALMA'!E193)</f>
        <v>0.9011</v>
      </c>
      <c r="D44" s="111">
        <f>('Isotermas PALMA'!AC193)</f>
        <v>0.9654</v>
      </c>
      <c r="E44" s="127">
        <f>('Isotermas PALMA'!BA193)</f>
        <v>0.7989</v>
      </c>
      <c r="F44" s="19"/>
      <c r="G44" s="118" t="s">
        <v>165</v>
      </c>
      <c r="H44" s="111">
        <f>('Isotermas PALMA'!J193)</f>
        <v>0.9283</v>
      </c>
      <c r="I44" s="111">
        <f>('Isotermas PALMA'!AH193)</f>
        <v>0.9452</v>
      </c>
      <c r="J44" s="127">
        <f>('Isotermas PALMA'!BF193)</f>
        <v>0.995</v>
      </c>
      <c r="K44" s="19"/>
      <c r="L44" s="118" t="s">
        <v>166</v>
      </c>
      <c r="M44" s="111">
        <f>('Isotermas PALMA'!O193)</f>
        <v>0.8847</v>
      </c>
      <c r="N44" s="111">
        <f>('Isotermas PALMA'!AM193)</f>
        <v>0.8325</v>
      </c>
      <c r="O44" s="127">
        <f>('Isotermas PALMA'!BK193)</f>
        <v>0.9935</v>
      </c>
      <c r="P44" s="19"/>
      <c r="Q44" s="100"/>
      <c r="R44" s="19"/>
      <c r="S44" s="19"/>
      <c r="T44" s="19"/>
      <c r="U44" s="19"/>
      <c r="V44" s="19"/>
      <c r="W44" s="19"/>
      <c r="X44" s="94"/>
      <c r="Y44" s="5"/>
    </row>
    <row r="45" ht="15.75" customHeight="1">
      <c r="A45" s="131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15"/>
      <c r="R45" s="84"/>
      <c r="S45" s="133"/>
      <c r="T45" s="84"/>
      <c r="U45" s="84"/>
      <c r="V45" s="84"/>
      <c r="W45" s="84"/>
      <c r="X45" s="8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P2"/>
    <mergeCell ref="B4:E4"/>
    <mergeCell ref="G4:J4"/>
    <mergeCell ref="L4:O4"/>
    <mergeCell ref="B11:E11"/>
    <mergeCell ref="G11:J11"/>
    <mergeCell ref="L11:O11"/>
    <mergeCell ref="G32:J32"/>
    <mergeCell ref="L32:O32"/>
    <mergeCell ref="B39:E39"/>
    <mergeCell ref="G39:J39"/>
    <mergeCell ref="L39:O39"/>
    <mergeCell ref="B18:E18"/>
    <mergeCell ref="G18:J18"/>
    <mergeCell ref="L18:O18"/>
    <mergeCell ref="B25:E25"/>
    <mergeCell ref="G25:J25"/>
    <mergeCell ref="L25:O25"/>
    <mergeCell ref="B32:E32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43"/>
    <col customWidth="1" min="6" max="11" width="8.71"/>
    <col customWidth="1" min="12" max="12" width="11.86"/>
    <col customWidth="1" min="13" max="13" width="12.86"/>
    <col customWidth="1" min="14" max="15" width="8.71"/>
    <col customWidth="1" min="16" max="16" width="11.43"/>
    <col customWidth="1" min="17" max="17" width="13.71"/>
    <col customWidth="1" min="18" max="20" width="8.71"/>
    <col customWidth="1" min="21" max="21" width="13.29"/>
    <col customWidth="1" min="22" max="28" width="8.71"/>
  </cols>
  <sheetData>
    <row r="4">
      <c r="P4" s="5" t="s">
        <v>0</v>
      </c>
      <c r="Q4" s="5" t="s">
        <v>1</v>
      </c>
      <c r="S4" s="23" t="s">
        <v>55</v>
      </c>
      <c r="T4" s="23">
        <f>20/1000</f>
        <v>0.02</v>
      </c>
    </row>
    <row r="5">
      <c r="B5" s="46" t="s">
        <v>188</v>
      </c>
      <c r="C5" s="27"/>
      <c r="D5" s="27"/>
      <c r="E5" s="8"/>
      <c r="J5" s="5"/>
      <c r="O5" s="1" t="s">
        <v>3</v>
      </c>
      <c r="P5" s="1">
        <v>0.788</v>
      </c>
      <c r="Q5" s="6">
        <v>234.66</v>
      </c>
    </row>
    <row r="7">
      <c r="A7" s="147"/>
      <c r="B7" s="49" t="s">
        <v>4</v>
      </c>
      <c r="C7" s="8"/>
      <c r="D7" s="49" t="s">
        <v>5</v>
      </c>
      <c r="E7" s="8"/>
      <c r="F7" s="49" t="s">
        <v>6</v>
      </c>
      <c r="G7" s="8"/>
      <c r="H7" s="49" t="s">
        <v>6</v>
      </c>
      <c r="I7" s="8"/>
      <c r="J7" s="49" t="s">
        <v>1</v>
      </c>
      <c r="K7" s="8"/>
      <c r="L7" s="50" t="s">
        <v>7</v>
      </c>
      <c r="M7" s="50" t="s">
        <v>8</v>
      </c>
      <c r="N7" s="49" t="s">
        <v>9</v>
      </c>
      <c r="O7" s="8"/>
      <c r="P7" s="51" t="s">
        <v>10</v>
      </c>
      <c r="Q7" s="50" t="s">
        <v>8</v>
      </c>
      <c r="R7" s="49" t="s">
        <v>11</v>
      </c>
      <c r="S7" s="8"/>
      <c r="T7" s="50" t="s">
        <v>12</v>
      </c>
      <c r="U7" s="50" t="s">
        <v>8</v>
      </c>
      <c r="V7" s="147"/>
      <c r="W7" s="147"/>
      <c r="X7" s="147"/>
      <c r="Y7" s="147"/>
      <c r="Z7" s="147"/>
      <c r="AA7" s="147"/>
      <c r="AB7" s="147"/>
    </row>
    <row r="8"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9" t="s">
        <v>20</v>
      </c>
      <c r="J8" s="9" t="s">
        <v>21</v>
      </c>
      <c r="K8" s="9" t="s">
        <v>22</v>
      </c>
      <c r="L8" s="9" t="s">
        <v>23</v>
      </c>
      <c r="M8" s="9"/>
      <c r="N8" s="9"/>
      <c r="O8" s="9"/>
      <c r="P8" s="31"/>
      <c r="Q8" s="9"/>
      <c r="R8" s="9">
        <v>1.0</v>
      </c>
      <c r="S8" s="9">
        <v>2.0</v>
      </c>
      <c r="T8" s="9"/>
      <c r="U8" s="9"/>
    </row>
    <row r="9">
      <c r="B9" s="9">
        <v>2.0</v>
      </c>
      <c r="C9" s="11">
        <v>2.06</v>
      </c>
      <c r="D9" s="9">
        <v>0.1018</v>
      </c>
      <c r="E9" s="9">
        <v>0.1001</v>
      </c>
      <c r="F9" s="9">
        <v>0.604</v>
      </c>
      <c r="G9" s="9">
        <v>0.677</v>
      </c>
      <c r="H9" s="9">
        <f t="shared" ref="H9:I9" si="1">F9*50</f>
        <v>30.2</v>
      </c>
      <c r="I9" s="9">
        <f t="shared" si="1"/>
        <v>33.85</v>
      </c>
      <c r="J9" s="11">
        <f t="shared" ref="J9:K9" si="2">(H9-0.0244)/0.1678</f>
        <v>179.8307509</v>
      </c>
      <c r="K9" s="11">
        <f t="shared" si="2"/>
        <v>201.5828367</v>
      </c>
      <c r="L9" s="11">
        <f t="shared" ref="L9:L13" si="7">(J9+K9)/2</f>
        <v>190.7067938</v>
      </c>
      <c r="M9" s="11">
        <f t="shared" ref="M9:M13" si="8">STDEV(J9:K9)</f>
        <v>15.38104739</v>
      </c>
      <c r="N9" s="11">
        <f t="shared" ref="N9:O9" si="3">(($Q$5-J9)/$Q$5)*100</f>
        <v>23.36540062</v>
      </c>
      <c r="O9" s="11">
        <f t="shared" si="3"/>
        <v>14.09578253</v>
      </c>
      <c r="P9" s="14">
        <f t="shared" ref="P9:P13" si="10">(N9+O9)/2</f>
        <v>18.73059158</v>
      </c>
      <c r="Q9" s="11">
        <f t="shared" ref="Q9:Q13" si="11">STDEV(N9:O9)</f>
        <v>6.554609812</v>
      </c>
      <c r="R9" s="11">
        <f t="shared" ref="R9:S9" si="4">(($Q$5-J9)/D9)*0.02</f>
        <v>10.77195464</v>
      </c>
      <c r="S9" s="11">
        <f t="shared" si="4"/>
        <v>6.608823834</v>
      </c>
      <c r="T9" s="11">
        <f t="shared" ref="T9:T13" si="13">(R9+S9)/2</f>
        <v>8.690389236</v>
      </c>
      <c r="U9" s="11">
        <f t="shared" ref="U9:U13" si="14">STDEV(R9:S9)</f>
        <v>2.943778022</v>
      </c>
    </row>
    <row r="10">
      <c r="B10" s="9">
        <v>4.0</v>
      </c>
      <c r="C10" s="9">
        <v>4.01</v>
      </c>
      <c r="D10" s="9">
        <v>0.1006</v>
      </c>
      <c r="E10" s="9">
        <v>0.1014</v>
      </c>
      <c r="F10" s="9">
        <v>0.365</v>
      </c>
      <c r="G10" s="20">
        <v>0.412</v>
      </c>
      <c r="H10" s="9">
        <f t="shared" ref="H10:I10" si="5">F10*50</f>
        <v>18.25</v>
      </c>
      <c r="I10" s="9">
        <f t="shared" si="5"/>
        <v>20.6</v>
      </c>
      <c r="J10" s="11">
        <f t="shared" ref="J10:K10" si="6">(H10-0.0244)/0.1678</f>
        <v>108.6150179</v>
      </c>
      <c r="K10" s="11">
        <f t="shared" si="6"/>
        <v>122.6197855</v>
      </c>
      <c r="L10" s="11">
        <f t="shared" si="7"/>
        <v>115.6174017</v>
      </c>
      <c r="M10" s="11">
        <f t="shared" si="8"/>
        <v>9.902866125</v>
      </c>
      <c r="N10" s="11">
        <f t="shared" ref="N10:O10" si="9">(($Q$5-J10)/$Q$5)*100</f>
        <v>53.7138763</v>
      </c>
      <c r="O10" s="11">
        <f t="shared" si="9"/>
        <v>47.74576602</v>
      </c>
      <c r="P10" s="14">
        <f t="shared" si="10"/>
        <v>50.72982116</v>
      </c>
      <c r="Q10" s="11">
        <f t="shared" si="11"/>
        <v>4.220091249</v>
      </c>
      <c r="R10" s="11">
        <f t="shared" ref="R10:S10" si="12">(($Q$5-J10)/D10)*0.02</f>
        <v>25.05864456</v>
      </c>
      <c r="S10" s="11">
        <f t="shared" si="12"/>
        <v>22.09866165</v>
      </c>
      <c r="T10" s="11">
        <f t="shared" si="13"/>
        <v>23.5786531</v>
      </c>
      <c r="U10" s="11">
        <f t="shared" si="14"/>
        <v>2.093023989</v>
      </c>
    </row>
    <row r="11">
      <c r="B11" s="9">
        <v>6.0</v>
      </c>
      <c r="C11" s="9">
        <v>6.01</v>
      </c>
      <c r="D11" s="9">
        <v>0.1009</v>
      </c>
      <c r="E11" s="9">
        <v>0.1006</v>
      </c>
      <c r="F11" s="9">
        <v>0.314</v>
      </c>
      <c r="G11" s="9">
        <v>0.287</v>
      </c>
      <c r="H11" s="9">
        <f t="shared" ref="H11:I11" si="15">F11*50</f>
        <v>15.7</v>
      </c>
      <c r="I11" s="9">
        <f t="shared" si="15"/>
        <v>14.35</v>
      </c>
      <c r="J11" s="11">
        <f t="shared" ref="J11:K11" si="16">(H11-0.0244)/0.1678</f>
        <v>93.41835518</v>
      </c>
      <c r="K11" s="11">
        <f t="shared" si="16"/>
        <v>85.37306317</v>
      </c>
      <c r="L11" s="11">
        <f t="shared" si="7"/>
        <v>89.39570918</v>
      </c>
      <c r="M11" s="11">
        <f t="shared" si="8"/>
        <v>5.68888054</v>
      </c>
      <c r="N11" s="11">
        <f t="shared" ref="N11:O11" si="17">(($Q$5-J11)/$Q$5)*100</f>
        <v>60.18991086</v>
      </c>
      <c r="O11" s="11">
        <f t="shared" si="17"/>
        <v>63.61839974</v>
      </c>
      <c r="P11" s="14">
        <f t="shared" si="10"/>
        <v>61.9041553</v>
      </c>
      <c r="Q11" s="11">
        <f t="shared" si="11"/>
        <v>2.424307739</v>
      </c>
      <c r="R11" s="11">
        <f t="shared" ref="R11:S11" si="18">(($Q$5-J11)/D11)*0.02</f>
        <v>27.99636171</v>
      </c>
      <c r="S11" s="11">
        <f t="shared" si="18"/>
        <v>29.6793115</v>
      </c>
      <c r="T11" s="11">
        <f t="shared" si="13"/>
        <v>28.8378366</v>
      </c>
      <c r="U11" s="11">
        <f t="shared" si="14"/>
        <v>1.190025208</v>
      </c>
    </row>
    <row r="12">
      <c r="B12" s="9">
        <v>8.0</v>
      </c>
      <c r="C12" s="11">
        <v>8.0</v>
      </c>
      <c r="D12" s="9">
        <v>0.1004</v>
      </c>
      <c r="E12" s="9">
        <v>0.1011</v>
      </c>
      <c r="F12" s="20">
        <v>0.143</v>
      </c>
      <c r="G12" s="9">
        <v>0.182</v>
      </c>
      <c r="H12" s="9">
        <f t="shared" ref="H12:I12" si="19">F12*50</f>
        <v>7.15</v>
      </c>
      <c r="I12" s="9">
        <f t="shared" si="19"/>
        <v>9.1</v>
      </c>
      <c r="J12" s="11">
        <f t="shared" ref="J12:K12" si="20">(H12-0.0244)/0.1678</f>
        <v>42.46483909</v>
      </c>
      <c r="K12" s="11">
        <f t="shared" si="20"/>
        <v>54.08581645</v>
      </c>
      <c r="L12" s="11">
        <f t="shared" si="7"/>
        <v>48.27532777</v>
      </c>
      <c r="M12" s="11">
        <f t="shared" si="8"/>
        <v>8.217271891</v>
      </c>
      <c r="N12" s="11">
        <f t="shared" ref="N12:O12" si="21">(($Q$5-J12)/$Q$5)*100</f>
        <v>81.90367379</v>
      </c>
      <c r="O12" s="11">
        <f t="shared" si="21"/>
        <v>76.95141207</v>
      </c>
      <c r="P12" s="14">
        <f t="shared" si="10"/>
        <v>79.42754293</v>
      </c>
      <c r="Q12" s="11">
        <f t="shared" si="11"/>
        <v>3.501777845</v>
      </c>
      <c r="R12" s="11">
        <f t="shared" ref="R12:S12" si="22">(($Q$5-J12)/D12)*0.02</f>
        <v>38.28588863</v>
      </c>
      <c r="S12" s="11">
        <f t="shared" si="22"/>
        <v>35.72189586</v>
      </c>
      <c r="T12" s="11">
        <f t="shared" si="13"/>
        <v>37.00389224</v>
      </c>
      <c r="U12" s="11">
        <f t="shared" si="14"/>
        <v>1.813016675</v>
      </c>
    </row>
    <row r="13">
      <c r="B13" s="9">
        <v>10.0</v>
      </c>
      <c r="C13" s="33">
        <v>10.08</v>
      </c>
      <c r="D13" s="9">
        <v>0.1014</v>
      </c>
      <c r="E13" s="9">
        <v>0.1009</v>
      </c>
      <c r="F13" s="9">
        <v>0.094</v>
      </c>
      <c r="G13" s="9">
        <v>0.098</v>
      </c>
      <c r="H13" s="9">
        <f t="shared" ref="H13:I13" si="23">F13*50</f>
        <v>4.7</v>
      </c>
      <c r="I13" s="9">
        <f t="shared" si="23"/>
        <v>4.9</v>
      </c>
      <c r="J13" s="11">
        <f t="shared" ref="J13:K13" si="24">(H13-0.0244)/0.1678</f>
        <v>27.86412396</v>
      </c>
      <c r="K13" s="11">
        <f t="shared" si="24"/>
        <v>29.05601907</v>
      </c>
      <c r="L13" s="11">
        <f t="shared" si="7"/>
        <v>28.46007151</v>
      </c>
      <c r="M13" s="11">
        <f t="shared" si="8"/>
        <v>0.842797117</v>
      </c>
      <c r="N13" s="11">
        <f t="shared" ref="N13:O13" si="25">(($Q$5-J13)/$Q$5)*100</f>
        <v>88.1257462</v>
      </c>
      <c r="O13" s="11">
        <f t="shared" si="25"/>
        <v>87.61782193</v>
      </c>
      <c r="P13" s="14">
        <f t="shared" si="10"/>
        <v>87.87178406</v>
      </c>
      <c r="Q13" s="11">
        <f t="shared" si="11"/>
        <v>0.359156702</v>
      </c>
      <c r="R13" s="11">
        <f t="shared" ref="R13:S13" si="26">(($Q$5-J13)/D13)*0.02</f>
        <v>40.78814123</v>
      </c>
      <c r="S13" s="11">
        <f t="shared" si="26"/>
        <v>40.7540101</v>
      </c>
      <c r="T13" s="11">
        <f t="shared" si="13"/>
        <v>40.77107566</v>
      </c>
      <c r="U13" s="11">
        <f t="shared" si="14"/>
        <v>0.0241343579</v>
      </c>
    </row>
    <row r="17">
      <c r="B17" s="46" t="s">
        <v>190</v>
      </c>
      <c r="C17" s="27"/>
      <c r="D17" s="27"/>
      <c r="E17" s="8"/>
    </row>
    <row r="19">
      <c r="A19" s="147"/>
      <c r="B19" s="49" t="s">
        <v>4</v>
      </c>
      <c r="C19" s="8"/>
      <c r="D19" s="49" t="s">
        <v>5</v>
      </c>
      <c r="E19" s="8"/>
      <c r="F19" s="49" t="s">
        <v>6</v>
      </c>
      <c r="G19" s="8"/>
      <c r="H19" s="49" t="s">
        <v>6</v>
      </c>
      <c r="I19" s="8"/>
      <c r="J19" s="49" t="s">
        <v>1</v>
      </c>
      <c r="K19" s="8"/>
      <c r="L19" s="50" t="s">
        <v>7</v>
      </c>
      <c r="M19" s="50" t="s">
        <v>8</v>
      </c>
      <c r="N19" s="49" t="s">
        <v>9</v>
      </c>
      <c r="O19" s="8"/>
      <c r="P19" s="51" t="s">
        <v>10</v>
      </c>
      <c r="Q19" s="50" t="s">
        <v>8</v>
      </c>
      <c r="R19" s="49" t="s">
        <v>11</v>
      </c>
      <c r="S19" s="8"/>
      <c r="T19" s="50" t="s">
        <v>12</v>
      </c>
      <c r="U19" s="50" t="s">
        <v>8</v>
      </c>
      <c r="V19" s="147"/>
      <c r="W19" s="147"/>
      <c r="X19" s="147"/>
      <c r="Y19" s="147"/>
      <c r="Z19" s="147"/>
      <c r="AA19" s="147"/>
      <c r="AB19" s="147"/>
    </row>
    <row r="20">
      <c r="B20" s="9" t="s">
        <v>13</v>
      </c>
      <c r="C20" s="9" t="s">
        <v>14</v>
      </c>
      <c r="D20" s="9" t="s">
        <v>15</v>
      </c>
      <c r="E20" s="9" t="s">
        <v>16</v>
      </c>
      <c r="F20" s="9" t="s">
        <v>17</v>
      </c>
      <c r="G20" s="9" t="s">
        <v>18</v>
      </c>
      <c r="H20" s="9" t="s">
        <v>19</v>
      </c>
      <c r="I20" s="9" t="s">
        <v>20</v>
      </c>
      <c r="J20" s="9" t="s">
        <v>21</v>
      </c>
      <c r="K20" s="9" t="s">
        <v>22</v>
      </c>
      <c r="L20" s="9" t="s">
        <v>23</v>
      </c>
      <c r="M20" s="9"/>
      <c r="N20" s="9"/>
      <c r="O20" s="9"/>
      <c r="P20" s="31"/>
      <c r="Q20" s="9"/>
      <c r="R20" s="9">
        <v>1.0</v>
      </c>
      <c r="S20" s="9">
        <v>2.0</v>
      </c>
      <c r="T20" s="9"/>
      <c r="U20" s="9"/>
    </row>
    <row r="21" ht="15.75" customHeight="1">
      <c r="B21" s="9">
        <v>2.0</v>
      </c>
      <c r="C21" s="11">
        <v>2.06</v>
      </c>
      <c r="D21" s="9">
        <v>0.1011</v>
      </c>
      <c r="E21" s="9">
        <v>0.1017</v>
      </c>
      <c r="F21" s="9">
        <v>0.572</v>
      </c>
      <c r="G21" s="9">
        <v>0.577</v>
      </c>
      <c r="H21" s="9">
        <f t="shared" ref="H21:I21" si="27">F21*50</f>
        <v>28.6</v>
      </c>
      <c r="I21" s="9">
        <f t="shared" si="27"/>
        <v>28.85</v>
      </c>
      <c r="J21" s="11">
        <f t="shared" ref="J21:K21" si="28">(H21-0.0244)/0.1678</f>
        <v>170.29559</v>
      </c>
      <c r="K21" s="11">
        <f t="shared" si="28"/>
        <v>171.7854589</v>
      </c>
      <c r="L21" s="11">
        <f t="shared" ref="L21:L25" si="33">(J21+K21)/2</f>
        <v>171.0405244</v>
      </c>
      <c r="M21" s="11">
        <f t="shared" ref="M21:M25" si="34">STDEV(J21:K21)</f>
        <v>1.053496396</v>
      </c>
      <c r="N21" s="11">
        <f t="shared" ref="N21:O21" si="29">(($Q$5-J21)/$Q$5)*100</f>
        <v>27.42879486</v>
      </c>
      <c r="O21" s="11">
        <f t="shared" si="29"/>
        <v>26.79388951</v>
      </c>
      <c r="P21" s="14">
        <f t="shared" ref="P21:P25" si="36">(N21+O21)/2</f>
        <v>27.11134218</v>
      </c>
      <c r="Q21" s="11">
        <f t="shared" ref="Q21:Q25" si="37">STDEV(N21:O21)</f>
        <v>0.4489458776</v>
      </c>
      <c r="R21" s="11">
        <f t="shared" ref="R21:S21" si="30">(($Q$5-J21)/D21)*0.02</f>
        <v>12.73282097</v>
      </c>
      <c r="S21" s="11">
        <f t="shared" si="30"/>
        <v>12.36470818</v>
      </c>
      <c r="T21" s="11">
        <f t="shared" ref="T21:T25" si="39">(R21+S21)/2</f>
        <v>12.54876458</v>
      </c>
      <c r="U21" s="11">
        <f t="shared" ref="U21:U25" si="40">STDEV(R21:S21)</f>
        <v>0.2602950478</v>
      </c>
    </row>
    <row r="22" ht="15.75" customHeight="1">
      <c r="B22" s="9">
        <v>4.0</v>
      </c>
      <c r="C22" s="9">
        <v>4.01</v>
      </c>
      <c r="D22" s="9">
        <v>0.1034</v>
      </c>
      <c r="E22" s="9">
        <v>0.1013</v>
      </c>
      <c r="F22" s="9">
        <v>0.009</v>
      </c>
      <c r="G22" s="20">
        <v>0.03</v>
      </c>
      <c r="H22" s="9">
        <f t="shared" ref="H22:I22" si="31">F22*50</f>
        <v>0.45</v>
      </c>
      <c r="I22" s="9">
        <f t="shared" si="31"/>
        <v>1.5</v>
      </c>
      <c r="J22" s="11">
        <f t="shared" ref="J22:K22" si="32">(H22-0.0244)/0.1678</f>
        <v>2.536352801</v>
      </c>
      <c r="K22" s="11">
        <f t="shared" si="32"/>
        <v>8.793802145</v>
      </c>
      <c r="L22" s="11">
        <f t="shared" si="33"/>
        <v>5.665077473</v>
      </c>
      <c r="M22" s="11">
        <f t="shared" si="34"/>
        <v>4.424684864</v>
      </c>
      <c r="N22" s="11">
        <f t="shared" ref="N22:O22" si="35">(($Q$5-J22)/$Q$5)*100</f>
        <v>98.91913713</v>
      </c>
      <c r="O22" s="11">
        <f t="shared" si="35"/>
        <v>96.25253467</v>
      </c>
      <c r="P22" s="14">
        <f t="shared" si="36"/>
        <v>97.5858359</v>
      </c>
      <c r="Q22" s="11">
        <f t="shared" si="37"/>
        <v>1.885572686</v>
      </c>
      <c r="R22" s="11">
        <f t="shared" ref="R22:S22" si="38">(($Q$5-J22)/D22)*0.02</f>
        <v>44.89819095</v>
      </c>
      <c r="S22" s="11">
        <f t="shared" si="38"/>
        <v>44.59352376</v>
      </c>
      <c r="T22" s="11">
        <f t="shared" si="39"/>
        <v>44.74585735</v>
      </c>
      <c r="U22" s="11">
        <f t="shared" si="40"/>
        <v>0.2154322329</v>
      </c>
    </row>
    <row r="23" ht="15.75" customHeight="1">
      <c r="B23" s="9">
        <v>6.0</v>
      </c>
      <c r="C23" s="9">
        <v>6.01</v>
      </c>
      <c r="D23" s="9">
        <v>0.1021</v>
      </c>
      <c r="E23" s="9">
        <v>0.1022</v>
      </c>
      <c r="F23" s="9">
        <v>0.018</v>
      </c>
      <c r="G23" s="9">
        <v>0.022</v>
      </c>
      <c r="H23" s="9">
        <f t="shared" ref="H23:I23" si="41">F23*50</f>
        <v>0.9</v>
      </c>
      <c r="I23" s="9">
        <f t="shared" si="41"/>
        <v>1.1</v>
      </c>
      <c r="J23" s="11">
        <f t="shared" ref="J23:K23" si="42">(H23-0.0244)/0.1678</f>
        <v>5.218116806</v>
      </c>
      <c r="K23" s="11">
        <f t="shared" si="42"/>
        <v>6.410011919</v>
      </c>
      <c r="L23" s="11">
        <f t="shared" si="33"/>
        <v>5.814064362</v>
      </c>
      <c r="M23" s="11">
        <f t="shared" si="34"/>
        <v>0.842797117</v>
      </c>
      <c r="N23" s="11">
        <f t="shared" ref="N23:O23" si="43">(($Q$5-J23)/$Q$5)*100</f>
        <v>97.77630751</v>
      </c>
      <c r="O23" s="11">
        <f t="shared" si="43"/>
        <v>97.26838323</v>
      </c>
      <c r="P23" s="14">
        <f t="shared" si="36"/>
        <v>97.52234537</v>
      </c>
      <c r="Q23" s="11">
        <f t="shared" si="37"/>
        <v>0.359156702</v>
      </c>
      <c r="R23" s="11">
        <f t="shared" ref="R23:S23" si="44">(($Q$5-J23)/D23)*0.02</f>
        <v>44.94454127</v>
      </c>
      <c r="S23" s="11">
        <f t="shared" si="44"/>
        <v>44.66731665</v>
      </c>
      <c r="T23" s="11">
        <f t="shared" si="39"/>
        <v>44.80592896</v>
      </c>
      <c r="U23" s="11">
        <f t="shared" si="40"/>
        <v>0.1960274103</v>
      </c>
    </row>
    <row r="24" ht="15.75" customHeight="1">
      <c r="B24" s="9">
        <v>8.0</v>
      </c>
      <c r="C24" s="11">
        <v>8.0</v>
      </c>
      <c r="D24" s="9">
        <v>0.1014</v>
      </c>
      <c r="E24" s="9">
        <v>0.1011</v>
      </c>
      <c r="F24" s="20">
        <v>0.019</v>
      </c>
      <c r="G24" s="9">
        <v>0.017</v>
      </c>
      <c r="H24" s="9">
        <f t="shared" ref="H24:I24" si="45">F24*50</f>
        <v>0.95</v>
      </c>
      <c r="I24" s="9">
        <f t="shared" si="45"/>
        <v>0.85</v>
      </c>
      <c r="J24" s="11">
        <f t="shared" ref="J24:K24" si="46">(H24-0.0244)/0.1678</f>
        <v>5.516090584</v>
      </c>
      <c r="K24" s="11">
        <f t="shared" si="46"/>
        <v>4.920143027</v>
      </c>
      <c r="L24" s="11">
        <f t="shared" si="33"/>
        <v>5.218116806</v>
      </c>
      <c r="M24" s="11">
        <f t="shared" si="34"/>
        <v>0.4213985585</v>
      </c>
      <c r="N24" s="11">
        <f t="shared" ref="N24:O24" si="47">(($Q$5-J24)/$Q$5)*100</f>
        <v>97.64932644</v>
      </c>
      <c r="O24" s="11">
        <f t="shared" si="47"/>
        <v>97.90328858</v>
      </c>
      <c r="P24" s="14">
        <f t="shared" si="36"/>
        <v>97.77630751</v>
      </c>
      <c r="Q24" s="11">
        <f t="shared" si="37"/>
        <v>0.179578351</v>
      </c>
      <c r="R24" s="11">
        <f t="shared" ref="R24:S24" si="48">(($Q$5-J24)/D24)*0.02</f>
        <v>45.19603736</v>
      </c>
      <c r="S24" s="11">
        <f t="shared" si="48"/>
        <v>45.44804292</v>
      </c>
      <c r="T24" s="11">
        <f t="shared" si="39"/>
        <v>45.32204014</v>
      </c>
      <c r="U24" s="11">
        <f t="shared" si="40"/>
        <v>0.1781948419</v>
      </c>
    </row>
    <row r="25" ht="15.75" customHeight="1">
      <c r="B25" s="9">
        <v>10.0</v>
      </c>
      <c r="C25" s="33">
        <v>10.08</v>
      </c>
      <c r="D25" s="9">
        <v>0.1022</v>
      </c>
      <c r="E25" s="9">
        <v>0.1021</v>
      </c>
      <c r="F25" s="9">
        <v>0.016</v>
      </c>
      <c r="G25" s="9">
        <v>0.014</v>
      </c>
      <c r="H25" s="9">
        <f t="shared" ref="H25:I25" si="49">F25*50</f>
        <v>0.8</v>
      </c>
      <c r="I25" s="9">
        <f t="shared" si="49"/>
        <v>0.7</v>
      </c>
      <c r="J25" s="11">
        <f t="shared" ref="J25:K25" si="50">(H25-0.0244)/0.1678</f>
        <v>4.622169249</v>
      </c>
      <c r="K25" s="11">
        <f t="shared" si="50"/>
        <v>4.026221692</v>
      </c>
      <c r="L25" s="11">
        <f t="shared" si="33"/>
        <v>4.324195471</v>
      </c>
      <c r="M25" s="11">
        <f t="shared" si="34"/>
        <v>0.4213985585</v>
      </c>
      <c r="N25" s="11">
        <f t="shared" ref="N25:O25" si="51">(($Q$5-J25)/$Q$5)*100</f>
        <v>98.03026965</v>
      </c>
      <c r="O25" s="11">
        <f t="shared" si="51"/>
        <v>98.28423179</v>
      </c>
      <c r="P25" s="14">
        <f t="shared" si="36"/>
        <v>98.15725072</v>
      </c>
      <c r="Q25" s="11">
        <f t="shared" si="37"/>
        <v>0.179578351</v>
      </c>
      <c r="R25" s="11">
        <f t="shared" ref="R25:S25" si="52">(($Q$5-J25)/D25)*0.02</f>
        <v>45.01718801</v>
      </c>
      <c r="S25" s="11">
        <f t="shared" si="52"/>
        <v>45.1780173</v>
      </c>
      <c r="T25" s="11">
        <f t="shared" si="39"/>
        <v>45.09760266</v>
      </c>
      <c r="U25" s="11">
        <f t="shared" si="40"/>
        <v>0.1137234776</v>
      </c>
    </row>
    <row r="26" ht="15.75" customHeight="1"/>
    <row r="27" ht="15.75" customHeight="1"/>
    <row r="28" ht="15.75" customHeight="1"/>
    <row r="29" ht="15.75" customHeight="1"/>
    <row r="30" ht="15.75" customHeight="1">
      <c r="B30" s="46" t="s">
        <v>193</v>
      </c>
      <c r="C30" s="27"/>
      <c r="D30" s="27"/>
      <c r="E30" s="8"/>
    </row>
    <row r="31" ht="15.75" customHeight="1"/>
    <row r="32" ht="15.75" customHeight="1">
      <c r="A32" s="147"/>
      <c r="B32" s="49" t="s">
        <v>4</v>
      </c>
      <c r="C32" s="8"/>
      <c r="D32" s="49" t="s">
        <v>5</v>
      </c>
      <c r="E32" s="8"/>
      <c r="F32" s="49" t="s">
        <v>6</v>
      </c>
      <c r="G32" s="8"/>
      <c r="H32" s="49" t="s">
        <v>6</v>
      </c>
      <c r="I32" s="8"/>
      <c r="J32" s="49" t="s">
        <v>1</v>
      </c>
      <c r="K32" s="8"/>
      <c r="L32" s="50" t="s">
        <v>7</v>
      </c>
      <c r="M32" s="50" t="s">
        <v>8</v>
      </c>
      <c r="N32" s="49" t="s">
        <v>9</v>
      </c>
      <c r="O32" s="8"/>
      <c r="P32" s="51" t="s">
        <v>10</v>
      </c>
      <c r="Q32" s="50" t="s">
        <v>8</v>
      </c>
      <c r="R32" s="49" t="s">
        <v>11</v>
      </c>
      <c r="S32" s="8"/>
      <c r="T32" s="50" t="s">
        <v>12</v>
      </c>
      <c r="U32" s="50" t="s">
        <v>8</v>
      </c>
      <c r="V32" s="147"/>
      <c r="W32" s="147"/>
      <c r="X32" s="147"/>
      <c r="Y32" s="147"/>
      <c r="Z32" s="147"/>
      <c r="AA32" s="147"/>
      <c r="AB32" s="147"/>
    </row>
    <row r="33" ht="15.75" customHeight="1">
      <c r="B33" s="9" t="s">
        <v>13</v>
      </c>
      <c r="C33" s="9" t="s">
        <v>14</v>
      </c>
      <c r="D33" s="9" t="s">
        <v>15</v>
      </c>
      <c r="E33" s="9" t="s">
        <v>16</v>
      </c>
      <c r="F33" s="9" t="s">
        <v>17</v>
      </c>
      <c r="G33" s="9" t="s">
        <v>18</v>
      </c>
      <c r="H33" s="9" t="s">
        <v>19</v>
      </c>
      <c r="I33" s="9" t="s">
        <v>20</v>
      </c>
      <c r="J33" s="9" t="s">
        <v>21</v>
      </c>
      <c r="K33" s="9" t="s">
        <v>22</v>
      </c>
      <c r="L33" s="9" t="s">
        <v>23</v>
      </c>
      <c r="M33" s="9"/>
      <c r="N33" s="9"/>
      <c r="O33" s="9"/>
      <c r="P33" s="31"/>
      <c r="Q33" s="9"/>
      <c r="R33" s="9">
        <v>1.0</v>
      </c>
      <c r="S33" s="9">
        <v>2.0</v>
      </c>
      <c r="T33" s="9"/>
      <c r="U33" s="9"/>
    </row>
    <row r="34" ht="15.75" customHeight="1">
      <c r="B34" s="9">
        <v>2.0</v>
      </c>
      <c r="C34" s="11">
        <v>2.11</v>
      </c>
      <c r="D34" s="9">
        <v>0.1019</v>
      </c>
      <c r="E34" s="9">
        <v>0.101</v>
      </c>
      <c r="F34" s="9">
        <v>0.48</v>
      </c>
      <c r="G34" s="9">
        <v>0.554</v>
      </c>
      <c r="H34" s="9">
        <f t="shared" ref="H34:I34" si="53">F34*50</f>
        <v>24</v>
      </c>
      <c r="I34" s="9">
        <f t="shared" si="53"/>
        <v>27.7</v>
      </c>
      <c r="J34" s="11">
        <f t="shared" ref="J34:K34" si="54">(H34-0.0244)/0.1678</f>
        <v>142.8820024</v>
      </c>
      <c r="K34" s="11">
        <f t="shared" si="54"/>
        <v>164.932062</v>
      </c>
      <c r="L34" s="11">
        <f t="shared" ref="L34:L38" si="59">(J34+K34)/2</f>
        <v>153.9070322</v>
      </c>
      <c r="M34" s="11">
        <f t="shared" ref="M34:M38" si="60">STDEV(J34:K34)</f>
        <v>15.59174667</v>
      </c>
      <c r="N34" s="11">
        <f t="shared" ref="N34:O34" si="55">(($Q$5-J34)/$Q$5)*100</f>
        <v>39.11105328</v>
      </c>
      <c r="O34" s="11">
        <f t="shared" si="55"/>
        <v>29.71445411</v>
      </c>
      <c r="P34" s="14">
        <f t="shared" ref="P34:P38" si="62">(N34+O34)/2</f>
        <v>34.41275369</v>
      </c>
      <c r="Q34" s="11">
        <f t="shared" ref="Q34:Q38" si="63">STDEV(N34:O34)</f>
        <v>6.644398988</v>
      </c>
      <c r="R34" s="11">
        <f t="shared" ref="R34:S34" si="56">(($Q$5-J34)/D34)*0.02</f>
        <v>18.01334595</v>
      </c>
      <c r="S34" s="11">
        <f t="shared" si="56"/>
        <v>13.80751248</v>
      </c>
      <c r="T34" s="11">
        <f t="shared" ref="T34:T38" si="65">(R34+S34)/2</f>
        <v>15.91042921</v>
      </c>
      <c r="U34" s="11">
        <f t="shared" ref="U34:U38" si="66">STDEV(R34:S34)</f>
        <v>2.973973368</v>
      </c>
    </row>
    <row r="35" ht="15.75" customHeight="1">
      <c r="B35" s="9">
        <v>4.0</v>
      </c>
      <c r="C35" s="9">
        <v>4.13</v>
      </c>
      <c r="D35" s="9">
        <v>0.1001</v>
      </c>
      <c r="E35" s="9">
        <v>0.1022</v>
      </c>
      <c r="F35" s="9">
        <v>0.224</v>
      </c>
      <c r="G35" s="20">
        <v>0.248</v>
      </c>
      <c r="H35" s="9">
        <f t="shared" ref="H35:I35" si="57">F35*50</f>
        <v>11.2</v>
      </c>
      <c r="I35" s="9">
        <f t="shared" si="57"/>
        <v>12.4</v>
      </c>
      <c r="J35" s="11">
        <f t="shared" ref="J35:K35" si="58">(H35-0.0244)/0.1678</f>
        <v>66.60071514</v>
      </c>
      <c r="K35" s="11">
        <f t="shared" si="58"/>
        <v>73.75208582</v>
      </c>
      <c r="L35" s="11">
        <f t="shared" si="59"/>
        <v>70.17640048</v>
      </c>
      <c r="M35" s="11">
        <f t="shared" si="60"/>
        <v>5.056782702</v>
      </c>
      <c r="N35" s="11">
        <f t="shared" ref="N35:O35" si="61">(($Q$5-J35)/$Q$5)*100</f>
        <v>71.61820713</v>
      </c>
      <c r="O35" s="11">
        <f t="shared" si="61"/>
        <v>68.57066146</v>
      </c>
      <c r="P35" s="14">
        <f t="shared" si="62"/>
        <v>70.0944343</v>
      </c>
      <c r="Q35" s="11">
        <f t="shared" si="63"/>
        <v>2.154940212</v>
      </c>
      <c r="R35" s="11">
        <f t="shared" ref="R35:S35" si="64">(($Q$5-J35)/D35)*0.02</f>
        <v>33.57827869</v>
      </c>
      <c r="S35" s="11">
        <f t="shared" si="64"/>
        <v>31.48882861</v>
      </c>
      <c r="T35" s="11">
        <f t="shared" si="65"/>
        <v>32.53355365</v>
      </c>
      <c r="U35" s="11">
        <f t="shared" si="66"/>
        <v>1.477464325</v>
      </c>
    </row>
    <row r="36" ht="15.75" customHeight="1">
      <c r="B36" s="9">
        <v>6.0</v>
      </c>
      <c r="C36" s="9">
        <v>6.05</v>
      </c>
      <c r="D36" s="9">
        <v>0.1011</v>
      </c>
      <c r="E36" s="9">
        <v>0.1012</v>
      </c>
      <c r="F36" s="9">
        <v>0.241</v>
      </c>
      <c r="G36" s="9">
        <v>0.473</v>
      </c>
      <c r="H36" s="9">
        <f t="shared" ref="H36:I36" si="67">F36*50</f>
        <v>12.05</v>
      </c>
      <c r="I36" s="9">
        <f t="shared" si="67"/>
        <v>23.65</v>
      </c>
      <c r="J36" s="11">
        <f t="shared" ref="J36:K36" si="68">(H36-0.0244)/0.1678</f>
        <v>71.66626937</v>
      </c>
      <c r="K36" s="11">
        <f t="shared" si="68"/>
        <v>140.7961859</v>
      </c>
      <c r="L36" s="11">
        <f t="shared" si="59"/>
        <v>106.2312277</v>
      </c>
      <c r="M36" s="11">
        <f t="shared" si="60"/>
        <v>48.88223279</v>
      </c>
      <c r="N36" s="11">
        <f t="shared" ref="N36:O36" si="69">(($Q$5-J36)/$Q$5)*100</f>
        <v>69.45952895</v>
      </c>
      <c r="O36" s="11">
        <f t="shared" si="69"/>
        <v>39.99992076</v>
      </c>
      <c r="P36" s="14">
        <f t="shared" si="62"/>
        <v>54.72972486</v>
      </c>
      <c r="Q36" s="11">
        <f t="shared" si="63"/>
        <v>20.83108872</v>
      </c>
      <c r="R36" s="11">
        <f t="shared" ref="R36:S36" si="70">(($Q$5-J36)/D36)*0.02</f>
        <v>32.24406145</v>
      </c>
      <c r="S36" s="11">
        <f t="shared" si="70"/>
        <v>18.55016088</v>
      </c>
      <c r="T36" s="11">
        <f t="shared" si="65"/>
        <v>25.39711117</v>
      </c>
      <c r="U36" s="11">
        <f t="shared" si="66"/>
        <v>9.683049953</v>
      </c>
    </row>
    <row r="37" ht="15.75" customHeight="1">
      <c r="B37" s="9">
        <v>8.0</v>
      </c>
      <c r="C37" s="156">
        <v>8.07</v>
      </c>
      <c r="D37" s="43">
        <v>0.1</v>
      </c>
      <c r="E37" s="9">
        <v>0.1014</v>
      </c>
      <c r="F37" s="20">
        <v>0.089</v>
      </c>
      <c r="G37" s="9">
        <v>0.082</v>
      </c>
      <c r="H37" s="9">
        <f t="shared" ref="H37:I37" si="71">F37*50</f>
        <v>4.45</v>
      </c>
      <c r="I37" s="9">
        <f t="shared" si="71"/>
        <v>4.1</v>
      </c>
      <c r="J37" s="11">
        <f t="shared" ref="J37:K37" si="72">(H37-0.0244)/0.1678</f>
        <v>26.37425507</v>
      </c>
      <c r="K37" s="11">
        <f t="shared" si="72"/>
        <v>24.28843862</v>
      </c>
      <c r="L37" s="11">
        <f t="shared" si="59"/>
        <v>25.33134684</v>
      </c>
      <c r="M37" s="11">
        <f t="shared" si="60"/>
        <v>1.474894955</v>
      </c>
      <c r="N37" s="11">
        <f t="shared" ref="N37:O37" si="73">(($Q$5-J37)/$Q$5)*100</f>
        <v>88.76065155</v>
      </c>
      <c r="O37" s="11">
        <f t="shared" si="73"/>
        <v>89.64951904</v>
      </c>
      <c r="P37" s="14">
        <f t="shared" si="62"/>
        <v>89.2050853</v>
      </c>
      <c r="Q37" s="11">
        <f t="shared" si="63"/>
        <v>0.6285242286</v>
      </c>
      <c r="R37" s="11">
        <f t="shared" ref="R37:S37" si="74">(($Q$5-J37)/D37)*0.02</f>
        <v>41.65714899</v>
      </c>
      <c r="S37" s="11">
        <f t="shared" si="74"/>
        <v>41.49340461</v>
      </c>
      <c r="T37" s="11">
        <f t="shared" si="65"/>
        <v>41.5752768</v>
      </c>
      <c r="U37" s="11">
        <f t="shared" si="66"/>
        <v>0.1157847579</v>
      </c>
    </row>
    <row r="38" ht="15.75" customHeight="1">
      <c r="B38" s="9">
        <v>10.0</v>
      </c>
      <c r="C38" s="9">
        <v>10.29</v>
      </c>
      <c r="D38" s="9">
        <v>0.1008</v>
      </c>
      <c r="E38" s="9">
        <v>0.1016</v>
      </c>
      <c r="F38" s="9">
        <v>0.168</v>
      </c>
      <c r="G38" s="9">
        <v>0.05</v>
      </c>
      <c r="H38" s="9">
        <f t="shared" ref="H38:I38" si="75">F38*50</f>
        <v>8.4</v>
      </c>
      <c r="I38" s="9">
        <f t="shared" si="75"/>
        <v>2.5</v>
      </c>
      <c r="J38" s="11">
        <f t="shared" ref="J38:K38" si="76">(H38-0.0244)/0.1678</f>
        <v>49.91418355</v>
      </c>
      <c r="K38" s="11">
        <f t="shared" si="76"/>
        <v>14.75327771</v>
      </c>
      <c r="L38" s="11">
        <f t="shared" si="59"/>
        <v>32.33373063</v>
      </c>
      <c r="M38" s="11">
        <f t="shared" si="60"/>
        <v>24.86251495</v>
      </c>
      <c r="N38" s="11">
        <f t="shared" ref="N38:O38" si="77">(($Q$5-J38)/$Q$5)*100</f>
        <v>78.72914704</v>
      </c>
      <c r="O38" s="11">
        <f t="shared" si="77"/>
        <v>93.71291327</v>
      </c>
      <c r="P38" s="14">
        <f t="shared" si="62"/>
        <v>86.22103016</v>
      </c>
      <c r="Q38" s="11">
        <f t="shared" si="63"/>
        <v>10.59512271</v>
      </c>
      <c r="R38" s="11">
        <f t="shared" ref="R38:S38" si="78">(($Q$5-J38)/D38)*0.02</f>
        <v>36.65591596</v>
      </c>
      <c r="S38" s="11">
        <f t="shared" si="78"/>
        <v>43.28872486</v>
      </c>
      <c r="T38" s="11">
        <f t="shared" si="65"/>
        <v>39.97232041</v>
      </c>
      <c r="U38" s="11">
        <f t="shared" si="66"/>
        <v>4.69010415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N7:O7"/>
    <mergeCell ref="R7:S7"/>
    <mergeCell ref="B5:E5"/>
    <mergeCell ref="J5:K5"/>
    <mergeCell ref="B7:C7"/>
    <mergeCell ref="D7:E7"/>
    <mergeCell ref="F7:G7"/>
    <mergeCell ref="H7:I7"/>
    <mergeCell ref="J7:K7"/>
    <mergeCell ref="B17:E17"/>
    <mergeCell ref="B19:C19"/>
    <mergeCell ref="F19:G19"/>
    <mergeCell ref="H19:I19"/>
    <mergeCell ref="J19:K19"/>
    <mergeCell ref="N19:O19"/>
    <mergeCell ref="R19:S19"/>
    <mergeCell ref="N32:O32"/>
    <mergeCell ref="R32:S32"/>
    <mergeCell ref="D19:E19"/>
    <mergeCell ref="B30:E30"/>
    <mergeCell ref="B32:C32"/>
    <mergeCell ref="D32:E32"/>
    <mergeCell ref="F32:G32"/>
    <mergeCell ref="H32:I32"/>
    <mergeCell ref="J32:K3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4" width="8.71"/>
    <col customWidth="1" min="5" max="5" width="10.43"/>
    <col customWidth="1" min="6" max="11" width="8.71"/>
    <col customWidth="1" min="12" max="12" width="12.29"/>
    <col customWidth="1" min="13" max="13" width="13.14"/>
    <col customWidth="1" min="14" max="14" width="8.71"/>
    <col customWidth="1" min="15" max="15" width="10.14"/>
    <col customWidth="1" min="16" max="16" width="9.29"/>
    <col customWidth="1" min="17" max="17" width="13.14"/>
    <col customWidth="1" min="18" max="20" width="8.71"/>
    <col customWidth="1" min="21" max="21" width="12.71"/>
    <col customWidth="1" min="22" max="28" width="8.71"/>
  </cols>
  <sheetData>
    <row r="4">
      <c r="M4" s="5"/>
      <c r="N4" s="45" t="s">
        <v>0</v>
      </c>
      <c r="O4" s="45" t="s">
        <v>25</v>
      </c>
      <c r="P4" s="45" t="s">
        <v>32</v>
      </c>
      <c r="Q4" s="45" t="s">
        <v>27</v>
      </c>
    </row>
    <row r="5">
      <c r="M5" s="23" t="s">
        <v>49</v>
      </c>
      <c r="N5" s="23">
        <v>0.701</v>
      </c>
      <c r="O5" s="23">
        <f t="shared" ref="O5:O7" si="1">N5*50</f>
        <v>35.05</v>
      </c>
      <c r="P5" s="23">
        <v>200.0</v>
      </c>
      <c r="Q5" s="34">
        <f t="shared" ref="Q5:Q7" si="2">(O5-0.0244)/0.1678</f>
        <v>208.7342074</v>
      </c>
      <c r="T5" s="22" t="s">
        <v>28</v>
      </c>
      <c r="U5" s="8"/>
    </row>
    <row r="6" ht="14.25" customHeight="1">
      <c r="M6" s="23" t="s">
        <v>50</v>
      </c>
      <c r="N6" s="23">
        <v>0.75</v>
      </c>
      <c r="O6" s="23">
        <f t="shared" si="1"/>
        <v>37.5</v>
      </c>
      <c r="P6" s="23">
        <v>200.0</v>
      </c>
      <c r="Q6" s="34">
        <f t="shared" si="2"/>
        <v>223.3349225</v>
      </c>
      <c r="S6" s="5"/>
    </row>
    <row r="7">
      <c r="M7" s="23" t="s">
        <v>51</v>
      </c>
      <c r="N7" s="23">
        <v>0.788</v>
      </c>
      <c r="O7" s="23">
        <f t="shared" si="1"/>
        <v>39.4</v>
      </c>
      <c r="P7" s="23">
        <v>200.0</v>
      </c>
      <c r="Q7" s="34">
        <f t="shared" si="2"/>
        <v>234.6579261</v>
      </c>
      <c r="R7" s="5"/>
      <c r="S7" s="6"/>
    </row>
    <row r="8">
      <c r="M8" s="5"/>
      <c r="N8" s="5"/>
      <c r="O8" s="5"/>
      <c r="P8" s="5"/>
      <c r="Q8" s="65"/>
      <c r="R8" s="5"/>
      <c r="S8" s="6"/>
    </row>
    <row r="9">
      <c r="D9" s="46" t="s">
        <v>187</v>
      </c>
      <c r="E9" s="27"/>
      <c r="F9" s="27"/>
      <c r="G9" s="8"/>
      <c r="I9" s="47" t="s">
        <v>54</v>
      </c>
      <c r="P9" s="23" t="s">
        <v>55</v>
      </c>
      <c r="Q9" s="23">
        <f>20/1000</f>
        <v>0.02</v>
      </c>
    </row>
    <row r="11">
      <c r="B11" s="48" t="s">
        <v>56</v>
      </c>
      <c r="C11" s="8"/>
      <c r="D11" s="49" t="s">
        <v>5</v>
      </c>
      <c r="E11" s="8"/>
      <c r="F11" s="49" t="s">
        <v>6</v>
      </c>
      <c r="G11" s="8"/>
      <c r="H11" s="49" t="s">
        <v>36</v>
      </c>
      <c r="I11" s="8"/>
      <c r="J11" s="49" t="s">
        <v>37</v>
      </c>
      <c r="K11" s="8"/>
      <c r="L11" s="50" t="s">
        <v>7</v>
      </c>
      <c r="M11" s="50" t="s">
        <v>57</v>
      </c>
      <c r="N11" s="49" t="s">
        <v>9</v>
      </c>
      <c r="O11" s="8"/>
      <c r="P11" s="51" t="s">
        <v>10</v>
      </c>
      <c r="Q11" s="52" t="s">
        <v>57</v>
      </c>
      <c r="R11" s="49" t="s">
        <v>11</v>
      </c>
      <c r="S11" s="8"/>
      <c r="T11" s="50" t="s">
        <v>12</v>
      </c>
      <c r="U11" s="50" t="s">
        <v>8</v>
      </c>
    </row>
    <row r="12">
      <c r="B12" s="22"/>
      <c r="C12" s="8"/>
      <c r="D12" s="9" t="s">
        <v>15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  <c r="L12" s="9"/>
      <c r="M12" s="9"/>
      <c r="N12" s="9"/>
      <c r="O12" s="9"/>
      <c r="P12" s="31"/>
      <c r="Q12" s="54"/>
      <c r="R12" s="9">
        <v>1.0</v>
      </c>
      <c r="S12" s="9">
        <v>2.0</v>
      </c>
      <c r="T12" s="9"/>
      <c r="U12" s="9"/>
    </row>
    <row r="13">
      <c r="B13" s="22">
        <v>50.0</v>
      </c>
      <c r="C13" s="8"/>
      <c r="D13" s="43">
        <v>0.0504</v>
      </c>
      <c r="E13" s="43">
        <v>0.0502</v>
      </c>
      <c r="F13" s="20">
        <v>0.054</v>
      </c>
      <c r="G13" s="20">
        <v>0.026</v>
      </c>
      <c r="H13" s="20">
        <f t="shared" ref="H13:I13" si="3">F13*50</f>
        <v>2.7</v>
      </c>
      <c r="I13" s="20">
        <f t="shared" si="3"/>
        <v>1.3</v>
      </c>
      <c r="J13" s="20">
        <f t="shared" ref="J13:K13" si="4">(H13-0.0244)/0.1678</f>
        <v>15.94517282</v>
      </c>
      <c r="K13" s="20">
        <f t="shared" si="4"/>
        <v>7.601907032</v>
      </c>
      <c r="L13" s="20">
        <f t="shared" ref="L13:L16" si="9">(J13+K13)/2</f>
        <v>11.77353993</v>
      </c>
      <c r="M13" s="20">
        <f t="shared" ref="M13:M16" si="10">STDEV(J13:K13)</f>
        <v>5.899579819</v>
      </c>
      <c r="N13" s="20">
        <f t="shared" ref="N13:O13" si="5">(($Q$6-J13)/$Q$6)*100</f>
        <v>92.86042118</v>
      </c>
      <c r="O13" s="20">
        <f t="shared" si="5"/>
        <v>96.59618525</v>
      </c>
      <c r="P13" s="14">
        <f t="shared" ref="P13:P16" si="12">(N13+O13)/2</f>
        <v>94.72830322</v>
      </c>
      <c r="Q13" s="56">
        <f t="shared" ref="Q13:Q16" si="13">STDEV(N13:O13)</f>
        <v>2.641584107</v>
      </c>
      <c r="R13" s="20">
        <f t="shared" ref="R13:S13" si="6">(($Q$6-J13)/D13)*$Q$9</f>
        <v>82.29751972</v>
      </c>
      <c r="S13" s="20">
        <f t="shared" si="6"/>
        <v>85.94940856</v>
      </c>
      <c r="T13" s="20">
        <f t="shared" ref="T13:T16" si="15">(R13+S13)/2</f>
        <v>84.12346414</v>
      </c>
      <c r="U13" s="20">
        <f t="shared" ref="U13:U16" si="16">STDEV(R13:S13)</f>
        <v>2.582275363</v>
      </c>
    </row>
    <row r="14">
      <c r="B14" s="22">
        <v>100.0</v>
      </c>
      <c r="C14" s="8"/>
      <c r="D14" s="43">
        <v>0.1015</v>
      </c>
      <c r="E14" s="43">
        <v>0.1023</v>
      </c>
      <c r="F14" s="20">
        <v>0.011</v>
      </c>
      <c r="G14" s="20">
        <v>0.016</v>
      </c>
      <c r="H14" s="20">
        <f t="shared" ref="H14:I14" si="7">F14*50</f>
        <v>0.55</v>
      </c>
      <c r="I14" s="20">
        <f t="shared" si="7"/>
        <v>0.8</v>
      </c>
      <c r="J14" s="20">
        <f t="shared" ref="J14:K14" si="8">(H14-0.0244)/0.1678</f>
        <v>3.132300358</v>
      </c>
      <c r="K14" s="20">
        <f t="shared" si="8"/>
        <v>4.622169249</v>
      </c>
      <c r="L14" s="20">
        <f t="shared" si="9"/>
        <v>3.877234803</v>
      </c>
      <c r="M14" s="20">
        <f t="shared" si="10"/>
        <v>1.053496396</v>
      </c>
      <c r="N14" s="20">
        <f t="shared" ref="N14:O14" si="11">(($Q$6-J14)/$Q$6)*100</f>
        <v>98.59748743</v>
      </c>
      <c r="O14" s="20">
        <f t="shared" si="11"/>
        <v>97.9303867</v>
      </c>
      <c r="P14" s="14">
        <f t="shared" si="12"/>
        <v>98.26393707</v>
      </c>
      <c r="Q14" s="56">
        <f t="shared" si="13"/>
        <v>0.4717114477</v>
      </c>
      <c r="R14" s="20">
        <f t="shared" ref="R14:S14" si="14">(($Q$6-J14)/D14)*$Q$9</f>
        <v>43.38967925</v>
      </c>
      <c r="S14" s="20">
        <f t="shared" si="14"/>
        <v>42.75909155</v>
      </c>
      <c r="T14" s="20">
        <f t="shared" si="15"/>
        <v>43.0743854</v>
      </c>
      <c r="U14" s="20">
        <f t="shared" si="16"/>
        <v>0.4458928355</v>
      </c>
    </row>
    <row r="15">
      <c r="B15" s="22">
        <v>150.0</v>
      </c>
      <c r="C15" s="8"/>
      <c r="D15" s="43">
        <v>0.1501</v>
      </c>
      <c r="E15" s="43">
        <v>0.1511</v>
      </c>
      <c r="F15" s="20">
        <v>0.009</v>
      </c>
      <c r="G15" s="20">
        <v>0.01</v>
      </c>
      <c r="H15" s="20">
        <f t="shared" ref="H15:I15" si="17">F15*50</f>
        <v>0.45</v>
      </c>
      <c r="I15" s="20">
        <f t="shared" si="17"/>
        <v>0.5</v>
      </c>
      <c r="J15" s="20">
        <f t="shared" ref="J15:K15" si="18">(H15-0.0244)/0.1678</f>
        <v>2.536352801</v>
      </c>
      <c r="K15" s="20">
        <f t="shared" si="18"/>
        <v>2.834326579</v>
      </c>
      <c r="L15" s="20">
        <f t="shared" si="9"/>
        <v>2.68533969</v>
      </c>
      <c r="M15" s="20">
        <f t="shared" si="10"/>
        <v>0.2106992793</v>
      </c>
      <c r="N15" s="20">
        <f t="shared" ref="N15:O15" si="19">(($Q$6-J15)/$Q$6)*100</f>
        <v>98.86432772</v>
      </c>
      <c r="O15" s="20">
        <f t="shared" si="19"/>
        <v>98.73090758</v>
      </c>
      <c r="P15" s="14">
        <f t="shared" si="12"/>
        <v>98.79761765</v>
      </c>
      <c r="Q15" s="56">
        <f t="shared" si="13"/>
        <v>0.09434228954</v>
      </c>
      <c r="R15" s="20">
        <f t="shared" ref="R15:S15" si="20">(($Q$6-J15)/D15)*$Q$9</f>
        <v>29.42019583</v>
      </c>
      <c r="S15" s="20">
        <f t="shared" si="20"/>
        <v>29.18604844</v>
      </c>
      <c r="T15" s="20">
        <f t="shared" si="15"/>
        <v>29.30312214</v>
      </c>
      <c r="U15" s="20">
        <f t="shared" si="16"/>
        <v>0.1655672109</v>
      </c>
    </row>
    <row r="16">
      <c r="B16" s="22">
        <v>200.0</v>
      </c>
      <c r="C16" s="8"/>
      <c r="D16" s="43">
        <v>0.2012</v>
      </c>
      <c r="E16" s="43">
        <v>0.2017</v>
      </c>
      <c r="F16" s="20">
        <v>0.01</v>
      </c>
      <c r="G16" s="20">
        <v>0.01</v>
      </c>
      <c r="H16" s="20">
        <f t="shared" ref="H16:I16" si="21">F16*50</f>
        <v>0.5</v>
      </c>
      <c r="I16" s="20">
        <f t="shared" si="21"/>
        <v>0.5</v>
      </c>
      <c r="J16" s="20">
        <f t="shared" ref="J16:K16" si="22">(H16-0.0244)/0.1678</f>
        <v>2.834326579</v>
      </c>
      <c r="K16" s="20">
        <f t="shared" si="22"/>
        <v>2.834326579</v>
      </c>
      <c r="L16" s="20">
        <f t="shared" si="9"/>
        <v>2.834326579</v>
      </c>
      <c r="M16" s="20">
        <f t="shared" si="10"/>
        <v>0</v>
      </c>
      <c r="N16" s="20">
        <f t="shared" ref="N16:O16" si="23">(($Q$6-J16)/$Q$6)*100</f>
        <v>98.73090758</v>
      </c>
      <c r="O16" s="20">
        <f t="shared" si="23"/>
        <v>98.73090758</v>
      </c>
      <c r="P16" s="14">
        <f t="shared" si="12"/>
        <v>98.73090758</v>
      </c>
      <c r="Q16" s="56">
        <f t="shared" si="13"/>
        <v>0</v>
      </c>
      <c r="R16" s="20">
        <f t="shared" ref="R16:S16" si="24">(($Q$6-J16)/D16)*$Q$9</f>
        <v>21.9185483</v>
      </c>
      <c r="S16" s="20">
        <f t="shared" si="24"/>
        <v>21.86421378</v>
      </c>
      <c r="T16" s="20">
        <f t="shared" si="15"/>
        <v>21.89138104</v>
      </c>
      <c r="U16" s="20">
        <f t="shared" si="16"/>
        <v>0.03842031269</v>
      </c>
    </row>
    <row r="20">
      <c r="D20" s="5"/>
    </row>
    <row r="21" ht="15.75" customHeight="1">
      <c r="D21" s="46" t="s">
        <v>189</v>
      </c>
      <c r="E21" s="27"/>
      <c r="F21" s="27"/>
      <c r="G21" s="8"/>
      <c r="I21" s="47" t="s">
        <v>62</v>
      </c>
    </row>
    <row r="22" ht="15.75" customHeight="1"/>
    <row r="23" ht="15.75" customHeight="1">
      <c r="B23" s="48" t="s">
        <v>56</v>
      </c>
      <c r="C23" s="8"/>
      <c r="D23" s="49" t="s">
        <v>5</v>
      </c>
      <c r="E23" s="8"/>
      <c r="F23" s="49" t="s">
        <v>6</v>
      </c>
      <c r="G23" s="8"/>
      <c r="H23" s="49" t="s">
        <v>36</v>
      </c>
      <c r="I23" s="8"/>
      <c r="J23" s="49" t="s">
        <v>1</v>
      </c>
      <c r="K23" s="8"/>
      <c r="L23" s="50" t="s">
        <v>7</v>
      </c>
      <c r="M23" s="50" t="s">
        <v>57</v>
      </c>
      <c r="N23" s="49" t="s">
        <v>9</v>
      </c>
      <c r="O23" s="8"/>
      <c r="P23" s="51" t="s">
        <v>10</v>
      </c>
      <c r="Q23" s="52" t="s">
        <v>57</v>
      </c>
      <c r="R23" s="49" t="s">
        <v>11</v>
      </c>
      <c r="S23" s="8"/>
      <c r="T23" s="50" t="s">
        <v>12</v>
      </c>
      <c r="U23" s="50" t="s">
        <v>8</v>
      </c>
    </row>
    <row r="24" ht="15.75" customHeight="1">
      <c r="B24" s="22"/>
      <c r="C24" s="8"/>
      <c r="D24" s="9" t="s">
        <v>15</v>
      </c>
      <c r="E24" s="9" t="s">
        <v>16</v>
      </c>
      <c r="F24" s="9" t="s">
        <v>17</v>
      </c>
      <c r="G24" s="9" t="s">
        <v>18</v>
      </c>
      <c r="H24" s="9" t="s">
        <v>19</v>
      </c>
      <c r="I24" s="9" t="s">
        <v>20</v>
      </c>
      <c r="J24" s="9" t="s">
        <v>21</v>
      </c>
      <c r="K24" s="9" t="s">
        <v>22</v>
      </c>
      <c r="L24" s="9" t="s">
        <v>23</v>
      </c>
      <c r="M24" s="9"/>
      <c r="N24" s="9"/>
      <c r="O24" s="9"/>
      <c r="P24" s="31"/>
      <c r="Q24" s="54"/>
      <c r="R24" s="9">
        <v>1.0</v>
      </c>
      <c r="S24" s="9">
        <v>2.0</v>
      </c>
      <c r="T24" s="9"/>
      <c r="U24" s="9"/>
    </row>
    <row r="25" ht="15.75" customHeight="1">
      <c r="B25" s="22">
        <v>50.0</v>
      </c>
      <c r="C25" s="8"/>
      <c r="D25" s="43">
        <v>0.0521</v>
      </c>
      <c r="E25" s="43">
        <v>0.0507</v>
      </c>
      <c r="F25" s="20">
        <v>0.095</v>
      </c>
      <c r="G25" s="20">
        <v>0.073</v>
      </c>
      <c r="H25" s="20">
        <f t="shared" ref="H25:I25" si="25">F25*50</f>
        <v>4.75</v>
      </c>
      <c r="I25" s="20">
        <f t="shared" si="25"/>
        <v>3.65</v>
      </c>
      <c r="J25" s="20">
        <f t="shared" ref="J25:K25" si="26">(H25-0.0244)/0.1678</f>
        <v>28.16209774</v>
      </c>
      <c r="K25" s="20">
        <f t="shared" si="26"/>
        <v>21.60667461</v>
      </c>
      <c r="L25" s="20">
        <f t="shared" ref="L25:L28" si="31">(J25+K25)/2</f>
        <v>24.88438617</v>
      </c>
      <c r="M25" s="20">
        <f t="shared" ref="M25:M28" si="32">STDEV(J25:K25)</f>
        <v>4.635384144</v>
      </c>
      <c r="N25" s="11">
        <f t="shared" ref="N25:O25" si="27">(($Q$6-J25)/$Q$6)*100</f>
        <v>87.39019522</v>
      </c>
      <c r="O25" s="11">
        <f t="shared" si="27"/>
        <v>90.32543842</v>
      </c>
      <c r="P25" s="14">
        <f t="shared" ref="P25:P28" si="34">(N25+O25)/2</f>
        <v>88.85781682</v>
      </c>
      <c r="Q25" s="154">
        <f t="shared" ref="Q25:Q28" si="35">STDEV(N25:O25)</f>
        <v>2.07553037</v>
      </c>
      <c r="R25" s="20">
        <f t="shared" ref="R25:S25" si="28">(($Q$6-J25)/D25)*$Q$9</f>
        <v>74.92238956</v>
      </c>
      <c r="S25" s="20">
        <f t="shared" si="28"/>
        <v>79.57721811</v>
      </c>
      <c r="T25" s="11">
        <f t="shared" ref="T25:T28" si="37">(R25+S25)/2</f>
        <v>77.24980383</v>
      </c>
      <c r="U25" s="11">
        <f t="shared" ref="U25:U28" si="38">STDEV(R25:S25)</f>
        <v>3.291460838</v>
      </c>
    </row>
    <row r="26" ht="15.75" customHeight="1">
      <c r="B26" s="22">
        <v>100.0</v>
      </c>
      <c r="C26" s="8"/>
      <c r="D26" s="43">
        <v>0.1007</v>
      </c>
      <c r="E26" s="43">
        <v>0.1014</v>
      </c>
      <c r="F26" s="20">
        <v>0.02</v>
      </c>
      <c r="G26" s="20">
        <v>0.019</v>
      </c>
      <c r="H26" s="20">
        <f t="shared" ref="H26:I26" si="29">F26*50</f>
        <v>1</v>
      </c>
      <c r="I26" s="20">
        <f t="shared" si="29"/>
        <v>0.95</v>
      </c>
      <c r="J26" s="20">
        <f t="shared" ref="J26:K26" si="30">(H26-0.0244)/0.1678</f>
        <v>5.814064362</v>
      </c>
      <c r="K26" s="20">
        <f t="shared" si="30"/>
        <v>5.516090584</v>
      </c>
      <c r="L26" s="20">
        <f t="shared" si="31"/>
        <v>5.665077473</v>
      </c>
      <c r="M26" s="20">
        <f t="shared" si="32"/>
        <v>0.2106992793</v>
      </c>
      <c r="N26" s="11">
        <f t="shared" ref="N26:O26" si="33">(($Q$6-J26)/$Q$6)*100</f>
        <v>97.39670612</v>
      </c>
      <c r="O26" s="11">
        <f t="shared" si="33"/>
        <v>97.53012627</v>
      </c>
      <c r="P26" s="14">
        <f t="shared" si="34"/>
        <v>97.4634162</v>
      </c>
      <c r="Q26" s="154">
        <f t="shared" si="35"/>
        <v>0.09434228954</v>
      </c>
      <c r="R26" s="20">
        <f t="shared" ref="R26:S26" si="36">(($Q$6-J26)/D26)*$Q$9</f>
        <v>43.20175932</v>
      </c>
      <c r="S26" s="20">
        <f t="shared" si="36"/>
        <v>42.96229427</v>
      </c>
      <c r="T26" s="11">
        <f t="shared" si="37"/>
        <v>43.08202679</v>
      </c>
      <c r="U26" s="11">
        <f t="shared" si="38"/>
        <v>0.1693273599</v>
      </c>
    </row>
    <row r="27" ht="15.75" customHeight="1">
      <c r="B27" s="22">
        <v>150.0</v>
      </c>
      <c r="C27" s="8"/>
      <c r="D27" s="43">
        <v>0.1513</v>
      </c>
      <c r="E27" s="43">
        <v>0.1515</v>
      </c>
      <c r="F27" s="20">
        <v>0.011</v>
      </c>
      <c r="G27" s="20">
        <v>0.011</v>
      </c>
      <c r="H27" s="20">
        <f t="shared" ref="H27:I27" si="39">F27*50</f>
        <v>0.55</v>
      </c>
      <c r="I27" s="20">
        <f t="shared" si="39"/>
        <v>0.55</v>
      </c>
      <c r="J27" s="20">
        <f t="shared" ref="J27:K27" si="40">(H27-0.0244)/0.1678</f>
        <v>3.132300358</v>
      </c>
      <c r="K27" s="20">
        <f t="shared" si="40"/>
        <v>3.132300358</v>
      </c>
      <c r="L27" s="20">
        <f t="shared" si="31"/>
        <v>3.132300358</v>
      </c>
      <c r="M27" s="20">
        <f t="shared" si="32"/>
        <v>0</v>
      </c>
      <c r="N27" s="11">
        <f t="shared" ref="N27:O27" si="41">(($Q$6-J27)/$Q$6)*100</f>
        <v>98.59748743</v>
      </c>
      <c r="O27" s="11">
        <f t="shared" si="41"/>
        <v>98.59748743</v>
      </c>
      <c r="P27" s="14">
        <f t="shared" si="34"/>
        <v>98.59748743</v>
      </c>
      <c r="Q27" s="154">
        <f t="shared" si="35"/>
        <v>0</v>
      </c>
      <c r="R27" s="20">
        <f t="shared" ref="R27:S27" si="42">(($Q$6-J27)/D27)*$Q$9</f>
        <v>29.1080796</v>
      </c>
      <c r="S27" s="20">
        <f t="shared" si="42"/>
        <v>29.06965309</v>
      </c>
      <c r="T27" s="11">
        <f t="shared" si="37"/>
        <v>29.08886635</v>
      </c>
      <c r="U27" s="11">
        <f t="shared" si="38"/>
        <v>0.02717164419</v>
      </c>
    </row>
    <row r="28" ht="15.75" customHeight="1">
      <c r="B28" s="22">
        <v>200.0</v>
      </c>
      <c r="C28" s="8"/>
      <c r="D28" s="43">
        <v>0.2003</v>
      </c>
      <c r="E28" s="43">
        <v>0.201</v>
      </c>
      <c r="F28" s="20">
        <v>0.009</v>
      </c>
      <c r="G28" s="20">
        <v>0.006</v>
      </c>
      <c r="H28" s="20">
        <f t="shared" ref="H28:I28" si="43">F28*50</f>
        <v>0.45</v>
      </c>
      <c r="I28" s="20">
        <f t="shared" si="43"/>
        <v>0.3</v>
      </c>
      <c r="J28" s="20">
        <f t="shared" ref="J28:K28" si="44">(H28-0.0244)/0.1678</f>
        <v>2.536352801</v>
      </c>
      <c r="K28" s="20">
        <f t="shared" si="44"/>
        <v>1.642431466</v>
      </c>
      <c r="L28" s="20">
        <f t="shared" si="31"/>
        <v>2.089392133</v>
      </c>
      <c r="M28" s="20">
        <f t="shared" si="32"/>
        <v>0.6320978378</v>
      </c>
      <c r="N28" s="11">
        <f t="shared" ref="N28:O28" si="45">(($Q$6-J28)/$Q$6)*100</f>
        <v>98.86432772</v>
      </c>
      <c r="O28" s="11">
        <f t="shared" si="45"/>
        <v>99.26458816</v>
      </c>
      <c r="P28" s="14">
        <f t="shared" si="34"/>
        <v>99.06445794</v>
      </c>
      <c r="Q28" s="154">
        <f t="shared" si="35"/>
        <v>0.2830268686</v>
      </c>
      <c r="R28" s="20">
        <f t="shared" ref="R28:S28" si="46">(($Q$6-J28)/D28)*$Q$9</f>
        <v>22.04678679</v>
      </c>
      <c r="S28" s="20">
        <f t="shared" si="46"/>
        <v>22.05895433</v>
      </c>
      <c r="T28" s="11">
        <f t="shared" si="37"/>
        <v>22.05287056</v>
      </c>
      <c r="U28" s="11">
        <f t="shared" si="38"/>
        <v>0.008603751465</v>
      </c>
    </row>
    <row r="29" ht="15.75" customHeight="1">
      <c r="N29" s="155"/>
      <c r="O29" s="155"/>
    </row>
    <row r="30" ht="15.75" customHeight="1"/>
    <row r="31" ht="15.75" customHeight="1"/>
    <row r="32" ht="15.75" customHeight="1">
      <c r="D32" s="46" t="s">
        <v>191</v>
      </c>
      <c r="E32" s="27"/>
      <c r="F32" s="8"/>
      <c r="H32" s="47" t="s">
        <v>192</v>
      </c>
    </row>
    <row r="33" ht="15.75" customHeight="1"/>
    <row r="34" ht="15.75" customHeight="1">
      <c r="B34" s="48" t="s">
        <v>56</v>
      </c>
      <c r="C34" s="8"/>
      <c r="D34" s="49" t="s">
        <v>5</v>
      </c>
      <c r="E34" s="8"/>
      <c r="F34" s="49" t="s">
        <v>6</v>
      </c>
      <c r="G34" s="8"/>
      <c r="H34" s="49" t="s">
        <v>36</v>
      </c>
      <c r="I34" s="8"/>
      <c r="J34" s="49" t="s">
        <v>1</v>
      </c>
      <c r="K34" s="8"/>
      <c r="L34" s="50" t="s">
        <v>7</v>
      </c>
      <c r="M34" s="50" t="s">
        <v>8</v>
      </c>
      <c r="N34" s="49" t="s">
        <v>9</v>
      </c>
      <c r="O34" s="8"/>
      <c r="P34" s="51" t="s">
        <v>10</v>
      </c>
      <c r="Q34" s="52" t="s">
        <v>8</v>
      </c>
      <c r="R34" s="49" t="s">
        <v>11</v>
      </c>
      <c r="S34" s="8"/>
      <c r="T34" s="50" t="s">
        <v>12</v>
      </c>
      <c r="U34" s="50" t="s">
        <v>8</v>
      </c>
    </row>
    <row r="35" ht="15.75" customHeight="1">
      <c r="B35" s="22"/>
      <c r="C35" s="8"/>
      <c r="D35" s="9" t="s">
        <v>15</v>
      </c>
      <c r="E35" s="9" t="s">
        <v>16</v>
      </c>
      <c r="F35" s="9" t="s">
        <v>17</v>
      </c>
      <c r="G35" s="9" t="s">
        <v>18</v>
      </c>
      <c r="H35" s="9" t="s">
        <v>19</v>
      </c>
      <c r="I35" s="9" t="s">
        <v>20</v>
      </c>
      <c r="J35" s="9" t="s">
        <v>21</v>
      </c>
      <c r="K35" s="9" t="s">
        <v>22</v>
      </c>
      <c r="L35" s="9" t="s">
        <v>23</v>
      </c>
      <c r="M35" s="9"/>
      <c r="N35" s="9"/>
      <c r="O35" s="9"/>
      <c r="P35" s="31"/>
      <c r="Q35" s="54"/>
      <c r="R35" s="9">
        <v>1.0</v>
      </c>
      <c r="S35" s="9">
        <v>2.0</v>
      </c>
      <c r="T35" s="9"/>
      <c r="U35" s="9"/>
    </row>
    <row r="36" ht="15.75" customHeight="1">
      <c r="B36" s="22">
        <v>50.0</v>
      </c>
      <c r="C36" s="8"/>
      <c r="D36" s="43">
        <v>0.0511</v>
      </c>
      <c r="E36" s="43">
        <v>0.0529</v>
      </c>
      <c r="F36" s="20">
        <v>0.042</v>
      </c>
      <c r="G36" s="20">
        <v>0.03</v>
      </c>
      <c r="H36" s="20">
        <f t="shared" ref="H36:I36" si="47">F36*50</f>
        <v>2.1</v>
      </c>
      <c r="I36" s="20">
        <f t="shared" si="47"/>
        <v>1.5</v>
      </c>
      <c r="J36" s="20">
        <f t="shared" ref="J36:K36" si="48">(H36-0.0244)/0.1678</f>
        <v>12.36948749</v>
      </c>
      <c r="K36" s="20">
        <f t="shared" si="48"/>
        <v>8.793802145</v>
      </c>
      <c r="L36" s="20">
        <f t="shared" ref="L36:L39" si="53">(J36+K36)/2</f>
        <v>10.58164482</v>
      </c>
      <c r="M36" s="20">
        <f t="shared" ref="M36:M39" si="54">STDEV(J36:K36)</f>
        <v>2.528391351</v>
      </c>
      <c r="N36" s="11">
        <f t="shared" ref="N36:O36" si="49">(($Q$6-J36)/$Q$6)*100</f>
        <v>94.46146293</v>
      </c>
      <c r="O36" s="11">
        <f t="shared" si="49"/>
        <v>96.06250467</v>
      </c>
      <c r="P36" s="14">
        <f t="shared" ref="P36:P39" si="56">(N36+O36)/2</f>
        <v>95.2619838</v>
      </c>
      <c r="Q36" s="154">
        <f t="shared" ref="Q36:Q39" si="57">STDEV(N36:O36)</f>
        <v>1.132107474</v>
      </c>
      <c r="R36" s="20">
        <f t="shared" ref="R36:S36" si="50">(($Q$6-J36)/D36)*$Q$9</f>
        <v>82.56964189</v>
      </c>
      <c r="S36" s="20">
        <f t="shared" si="50"/>
        <v>81.11195478</v>
      </c>
      <c r="T36" s="11">
        <f t="shared" ref="T36:T39" si="59">(R36+S36)/2</f>
        <v>81.84079834</v>
      </c>
      <c r="U36" s="11">
        <f t="shared" ref="U36:U39" si="60">STDEV(R36:S36)</f>
        <v>1.030740447</v>
      </c>
    </row>
    <row r="37" ht="15.75" customHeight="1">
      <c r="B37" s="22">
        <v>100.0</v>
      </c>
      <c r="C37" s="8"/>
      <c r="D37" s="43">
        <v>0.1007</v>
      </c>
      <c r="E37" s="43">
        <v>0.1001</v>
      </c>
      <c r="F37" s="20">
        <v>0.631</v>
      </c>
      <c r="G37" s="20">
        <v>0.744</v>
      </c>
      <c r="H37" s="20">
        <f t="shared" ref="H37:I37" si="51">F37*1</f>
        <v>0.631</v>
      </c>
      <c r="I37" s="20">
        <f t="shared" si="51"/>
        <v>0.744</v>
      </c>
      <c r="J37" s="20">
        <f t="shared" ref="J37:K37" si="52">(H37-0.0244)/0.1678</f>
        <v>3.615017878</v>
      </c>
      <c r="K37" s="20">
        <f t="shared" si="52"/>
        <v>4.288438617</v>
      </c>
      <c r="L37" s="20">
        <f t="shared" si="53"/>
        <v>3.951728248</v>
      </c>
      <c r="M37" s="20">
        <f t="shared" si="54"/>
        <v>0.4761803711</v>
      </c>
      <c r="N37" s="11">
        <f t="shared" ref="N37:O37" si="55">(($Q$6-J37)/$Q$6)*100</f>
        <v>98.3813468</v>
      </c>
      <c r="O37" s="11">
        <f t="shared" si="55"/>
        <v>98.07981727</v>
      </c>
      <c r="P37" s="14">
        <f t="shared" si="56"/>
        <v>98.23058203</v>
      </c>
      <c r="Q37" s="154">
        <f t="shared" si="57"/>
        <v>0.2132135744</v>
      </c>
      <c r="R37" s="20">
        <f t="shared" ref="R37:S37" si="58">(($Q$6-J37)/D37)*$Q$9</f>
        <v>43.63851135</v>
      </c>
      <c r="S37" s="20">
        <f t="shared" si="58"/>
        <v>43.76553125</v>
      </c>
      <c r="T37" s="11">
        <f t="shared" si="59"/>
        <v>43.7020213</v>
      </c>
      <c r="U37" s="11">
        <f t="shared" si="60"/>
        <v>0.08981663292</v>
      </c>
    </row>
    <row r="38" ht="15.75" customHeight="1">
      <c r="B38" s="22">
        <v>150.0</v>
      </c>
      <c r="C38" s="8"/>
      <c r="D38" s="43">
        <v>0.15</v>
      </c>
      <c r="E38" s="43">
        <v>0.15</v>
      </c>
      <c r="F38" s="20">
        <v>0.491</v>
      </c>
      <c r="G38" s="20">
        <v>0.451</v>
      </c>
      <c r="H38" s="20">
        <f t="shared" ref="H38:I38" si="61">F38*1</f>
        <v>0.491</v>
      </c>
      <c r="I38" s="20">
        <f t="shared" si="61"/>
        <v>0.451</v>
      </c>
      <c r="J38" s="20">
        <f t="shared" ref="J38:K38" si="62">(H38-0.0244)/0.1678</f>
        <v>2.780691299</v>
      </c>
      <c r="K38" s="20">
        <f t="shared" si="62"/>
        <v>2.542312277</v>
      </c>
      <c r="L38" s="20">
        <f t="shared" si="53"/>
        <v>2.661501788</v>
      </c>
      <c r="M38" s="20">
        <f t="shared" si="54"/>
        <v>0.1685594234</v>
      </c>
      <c r="N38" s="11">
        <f t="shared" ref="N38:O38" si="63">(($Q$6-J38)/$Q$6)*100</f>
        <v>98.7549232</v>
      </c>
      <c r="O38" s="11">
        <f t="shared" si="63"/>
        <v>98.86165932</v>
      </c>
      <c r="P38" s="14">
        <f t="shared" si="56"/>
        <v>98.80829126</v>
      </c>
      <c r="Q38" s="154">
        <f t="shared" si="57"/>
        <v>0.07547383163</v>
      </c>
      <c r="R38" s="20">
        <f t="shared" ref="R38:S38" si="64">(($Q$6-J38)/D38)*$Q$9</f>
        <v>29.40723083</v>
      </c>
      <c r="S38" s="20">
        <f t="shared" si="64"/>
        <v>29.4390147</v>
      </c>
      <c r="T38" s="11">
        <f t="shared" si="59"/>
        <v>29.42312277</v>
      </c>
      <c r="U38" s="11">
        <f t="shared" si="60"/>
        <v>0.02247458979</v>
      </c>
    </row>
    <row r="39" ht="15.75" customHeight="1">
      <c r="B39" s="22">
        <v>200.0</v>
      </c>
      <c r="C39" s="8"/>
      <c r="D39" s="43">
        <v>0.2004</v>
      </c>
      <c r="E39" s="43">
        <v>0.2018</v>
      </c>
      <c r="F39" s="20">
        <v>0.484</v>
      </c>
      <c r="G39" s="20">
        <v>0.53</v>
      </c>
      <c r="H39" s="20">
        <f t="shared" ref="H39:I39" si="65">F39*1</f>
        <v>0.484</v>
      </c>
      <c r="I39" s="20">
        <f t="shared" si="65"/>
        <v>0.53</v>
      </c>
      <c r="J39" s="20">
        <f t="shared" ref="J39:K39" si="66">(H39-0.0244)/0.1678</f>
        <v>2.73897497</v>
      </c>
      <c r="K39" s="20">
        <f t="shared" si="66"/>
        <v>3.013110846</v>
      </c>
      <c r="L39" s="20">
        <f t="shared" si="53"/>
        <v>2.876042908</v>
      </c>
      <c r="M39" s="20">
        <f t="shared" si="54"/>
        <v>0.1938433369</v>
      </c>
      <c r="N39" s="11">
        <f t="shared" ref="N39:O39" si="67">(($Q$6-J39)/$Q$6)*100</f>
        <v>98.77360202</v>
      </c>
      <c r="O39" s="11">
        <f t="shared" si="67"/>
        <v>98.65085549</v>
      </c>
      <c r="P39" s="14">
        <f t="shared" si="56"/>
        <v>98.71222876</v>
      </c>
      <c r="Q39" s="154">
        <f t="shared" si="57"/>
        <v>0.08679490638</v>
      </c>
      <c r="R39" s="20">
        <f t="shared" ref="R39:S39" si="68">(($Q$6-J39)/D39)*$Q$9</f>
        <v>22.01556363</v>
      </c>
      <c r="S39" s="20">
        <f t="shared" si="68"/>
        <v>21.83566023</v>
      </c>
      <c r="T39" s="11">
        <f t="shared" si="59"/>
        <v>21.92561193</v>
      </c>
      <c r="U39" s="11">
        <f t="shared" si="60"/>
        <v>0.1272109158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11:K11"/>
    <mergeCell ref="N11:O11"/>
    <mergeCell ref="T5:U5"/>
    <mergeCell ref="S6:T6"/>
    <mergeCell ref="D9:G9"/>
    <mergeCell ref="D11:E11"/>
    <mergeCell ref="F11:G11"/>
    <mergeCell ref="H11:I11"/>
    <mergeCell ref="R11:S11"/>
    <mergeCell ref="B11:C11"/>
    <mergeCell ref="B12:C12"/>
    <mergeCell ref="B13:C13"/>
    <mergeCell ref="B14:C14"/>
    <mergeCell ref="B15:C15"/>
    <mergeCell ref="B16:C16"/>
    <mergeCell ref="D20:G20"/>
    <mergeCell ref="D21:G21"/>
    <mergeCell ref="D23:E23"/>
    <mergeCell ref="F23:G23"/>
    <mergeCell ref="H23:I23"/>
    <mergeCell ref="J23:K23"/>
    <mergeCell ref="N23:O23"/>
    <mergeCell ref="R23:S23"/>
    <mergeCell ref="B34:C34"/>
    <mergeCell ref="D34:E34"/>
    <mergeCell ref="F34:G34"/>
    <mergeCell ref="H34:I34"/>
    <mergeCell ref="J34:K34"/>
    <mergeCell ref="N34:O34"/>
    <mergeCell ref="R34:S34"/>
    <mergeCell ref="B35:C35"/>
    <mergeCell ref="B36:C36"/>
    <mergeCell ref="B37:C37"/>
    <mergeCell ref="B38:C38"/>
    <mergeCell ref="B39:C39"/>
    <mergeCell ref="B23:C23"/>
    <mergeCell ref="B24:C24"/>
    <mergeCell ref="B25:C25"/>
    <mergeCell ref="B26:C26"/>
    <mergeCell ref="B27:C27"/>
    <mergeCell ref="B28:C28"/>
    <mergeCell ref="D32:F3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29"/>
    <col customWidth="1" min="4" max="4" width="11.57"/>
    <col customWidth="1" min="5" max="5" width="15.43"/>
    <col customWidth="1" min="6" max="11" width="8.71"/>
    <col customWidth="1" min="12" max="12" width="11.29"/>
    <col customWidth="1" min="13" max="13" width="8.71"/>
    <col customWidth="1" min="14" max="14" width="9.29"/>
    <col customWidth="1" min="15" max="20" width="8.71"/>
    <col customWidth="1" min="21" max="21" width="11.71"/>
    <col customWidth="1" min="22" max="22" width="9.43"/>
    <col customWidth="1" min="23" max="30" width="8.71"/>
  </cols>
  <sheetData>
    <row r="5">
      <c r="D5" s="12" t="s">
        <v>194</v>
      </c>
      <c r="E5" s="8"/>
      <c r="F5" s="13">
        <f>100*3</f>
        <v>300</v>
      </c>
      <c r="Q5" s="15"/>
      <c r="R5" s="16" t="s">
        <v>0</v>
      </c>
      <c r="S5" s="17" t="s">
        <v>25</v>
      </c>
      <c r="T5" s="8"/>
      <c r="U5" s="18" t="s">
        <v>26</v>
      </c>
      <c r="V5" s="18" t="s">
        <v>27</v>
      </c>
    </row>
    <row r="6">
      <c r="N6" s="22" t="s">
        <v>28</v>
      </c>
      <c r="O6" s="8"/>
      <c r="Q6" s="15" t="s">
        <v>29</v>
      </c>
      <c r="R6" s="23">
        <v>0.677</v>
      </c>
      <c r="S6" s="24">
        <f>R6*50</f>
        <v>33.85</v>
      </c>
      <c r="T6" s="8"/>
      <c r="U6" s="15">
        <v>200.0</v>
      </c>
      <c r="V6" s="157">
        <f>(S6-0.0244)/0.1678</f>
        <v>201.5828367</v>
      </c>
    </row>
    <row r="7">
      <c r="C7" s="26" t="s">
        <v>195</v>
      </c>
      <c r="D7" s="27"/>
      <c r="E7" s="8"/>
      <c r="G7" s="28" t="s">
        <v>31</v>
      </c>
      <c r="N7" s="5"/>
      <c r="O7" s="5"/>
      <c r="R7" s="5"/>
      <c r="S7" s="6"/>
    </row>
    <row r="8">
      <c r="N8" s="5"/>
      <c r="O8" s="5"/>
      <c r="R8" s="5"/>
      <c r="S8" s="6"/>
    </row>
    <row r="9">
      <c r="C9" s="15" t="s">
        <v>34</v>
      </c>
      <c r="D9" s="7" t="s">
        <v>5</v>
      </c>
      <c r="E9" s="8"/>
      <c r="F9" s="30" t="s">
        <v>6</v>
      </c>
      <c r="G9" s="8"/>
      <c r="H9" s="7" t="s">
        <v>36</v>
      </c>
      <c r="I9" s="8"/>
      <c r="J9" s="7" t="s">
        <v>37</v>
      </c>
      <c r="K9" s="8"/>
      <c r="L9" s="9" t="s">
        <v>7</v>
      </c>
      <c r="M9" s="9" t="s">
        <v>38</v>
      </c>
      <c r="N9" s="7" t="s">
        <v>9</v>
      </c>
      <c r="O9" s="8"/>
      <c r="P9" s="31" t="s">
        <v>10</v>
      </c>
      <c r="Q9" s="9" t="s">
        <v>38</v>
      </c>
      <c r="R9" s="7" t="s">
        <v>11</v>
      </c>
      <c r="S9" s="8"/>
      <c r="T9" s="9" t="s">
        <v>12</v>
      </c>
      <c r="U9" s="9" t="s">
        <v>38</v>
      </c>
    </row>
    <row r="10">
      <c r="C10" s="23"/>
      <c r="D10" s="9" t="s">
        <v>15</v>
      </c>
      <c r="E10" s="9" t="s">
        <v>16</v>
      </c>
      <c r="F10" s="32" t="s">
        <v>17</v>
      </c>
      <c r="G10" s="9" t="s">
        <v>18</v>
      </c>
      <c r="H10" s="9" t="s">
        <v>19</v>
      </c>
      <c r="I10" s="9" t="s">
        <v>20</v>
      </c>
      <c r="J10" s="9" t="s">
        <v>21</v>
      </c>
      <c r="K10" s="9" t="s">
        <v>22</v>
      </c>
      <c r="L10" s="9"/>
      <c r="M10" s="9"/>
      <c r="N10" s="9"/>
      <c r="O10" s="9"/>
      <c r="P10" s="31"/>
      <c r="Q10" s="9"/>
      <c r="R10" s="9">
        <v>1.0</v>
      </c>
      <c r="S10" s="9">
        <v>2.0</v>
      </c>
      <c r="T10" s="9"/>
      <c r="U10" s="9"/>
    </row>
    <row r="11">
      <c r="C11" s="23">
        <v>0.0</v>
      </c>
      <c r="D11" s="9">
        <v>0.3014</v>
      </c>
      <c r="E11" s="9">
        <v>0.3003</v>
      </c>
      <c r="F11" s="32">
        <v>0.677</v>
      </c>
      <c r="G11" s="32">
        <v>0.677</v>
      </c>
      <c r="H11" s="11">
        <f t="shared" ref="H11:I11" si="1">F11*50</f>
        <v>33.85</v>
      </c>
      <c r="I11" s="11">
        <f t="shared" si="1"/>
        <v>33.85</v>
      </c>
      <c r="J11" s="20">
        <f t="shared" ref="J11:K11" si="2">(H11-0.0244)/0.1678</f>
        <v>201.5828367</v>
      </c>
      <c r="K11" s="20">
        <f t="shared" si="2"/>
        <v>201.5828367</v>
      </c>
      <c r="L11" s="20">
        <f t="shared" ref="L11:L24" si="7">(J11+K11)/2</f>
        <v>201.5828367</v>
      </c>
      <c r="M11" s="20">
        <f t="shared" ref="M11:M24" si="8">STDEV(J11:K11)</f>
        <v>0</v>
      </c>
      <c r="N11" s="20">
        <f t="shared" ref="N11:O11" si="3">(($V$6-J11)/$V$6)*100</f>
        <v>0</v>
      </c>
      <c r="O11" s="20">
        <f t="shared" si="3"/>
        <v>0</v>
      </c>
      <c r="P11" s="14">
        <f t="shared" ref="P11:P24" si="10">(N11+O11)/2</f>
        <v>0</v>
      </c>
      <c r="Q11" s="20">
        <f t="shared" ref="Q11:Q24" si="11">STDEV(N11:O11)</f>
        <v>0</v>
      </c>
      <c r="R11" s="20">
        <f t="shared" ref="R11:S11" si="4">(($S$6-J11)/D11)*0.0244</f>
        <v>-13.57890251</v>
      </c>
      <c r="S11" s="20">
        <f t="shared" si="4"/>
        <v>-13.62864208</v>
      </c>
      <c r="T11" s="20">
        <f t="shared" ref="T11:T24" si="13">(R11+S11)/2</f>
        <v>-13.60377229</v>
      </c>
      <c r="U11" s="20">
        <f t="shared" ref="U11:U24" si="14">STDEV(R11:S11)</f>
        <v>0.03517118697</v>
      </c>
    </row>
    <row r="12">
      <c r="C12" s="23">
        <v>1.0</v>
      </c>
      <c r="D12" s="9">
        <v>0.3014</v>
      </c>
      <c r="E12" s="9">
        <v>0.3003</v>
      </c>
      <c r="F12" s="44">
        <v>0.63</v>
      </c>
      <c r="G12" s="44">
        <v>0.69</v>
      </c>
      <c r="H12" s="11">
        <f t="shared" ref="H12:I12" si="5">F12*50</f>
        <v>31.5</v>
      </c>
      <c r="I12" s="11">
        <f t="shared" si="5"/>
        <v>34.5</v>
      </c>
      <c r="J12" s="20">
        <f t="shared" ref="J12:K12" si="6">(H12-0.0244)/0.1678</f>
        <v>187.5780691</v>
      </c>
      <c r="K12" s="20">
        <f t="shared" si="6"/>
        <v>205.4564958</v>
      </c>
      <c r="L12" s="20">
        <f t="shared" si="7"/>
        <v>196.5172825</v>
      </c>
      <c r="M12" s="20">
        <f t="shared" si="8"/>
        <v>12.64195676</v>
      </c>
      <c r="N12" s="20">
        <f t="shared" ref="N12:O12" si="9">(($V$6-J12)/$V$6)*100</f>
        <v>6.947400785</v>
      </c>
      <c r="O12" s="20">
        <f t="shared" si="9"/>
        <v>-1.921621494</v>
      </c>
      <c r="P12" s="14">
        <f t="shared" si="10"/>
        <v>2.512889646</v>
      </c>
      <c r="Q12" s="20">
        <f t="shared" si="11"/>
        <v>6.271345796</v>
      </c>
      <c r="R12" s="20">
        <f t="shared" ref="R12:S12" si="12">(($S$6-J12)/D12)*0.0244</f>
        <v>-12.44513897</v>
      </c>
      <c r="S12" s="20">
        <f t="shared" si="12"/>
        <v>-13.94338494</v>
      </c>
      <c r="T12" s="20">
        <f t="shared" si="13"/>
        <v>-13.19426196</v>
      </c>
      <c r="U12" s="20">
        <f t="shared" si="14"/>
        <v>1.059419884</v>
      </c>
    </row>
    <row r="13">
      <c r="C13" s="23">
        <v>5.0</v>
      </c>
      <c r="D13" s="9">
        <v>0.3014</v>
      </c>
      <c r="E13" s="9">
        <v>0.3003</v>
      </c>
      <c r="F13" s="32">
        <v>0.523</v>
      </c>
      <c r="G13" s="9">
        <v>0.51</v>
      </c>
      <c r="H13" s="11">
        <f t="shared" ref="H13:I13" si="15">F13*50</f>
        <v>26.15</v>
      </c>
      <c r="I13" s="11">
        <f t="shared" si="15"/>
        <v>25.5</v>
      </c>
      <c r="J13" s="20">
        <f t="shared" ref="J13:K13" si="16">(H13-0.0244)/0.1678</f>
        <v>155.6948749</v>
      </c>
      <c r="K13" s="20">
        <f t="shared" si="16"/>
        <v>151.8212157</v>
      </c>
      <c r="L13" s="20">
        <f t="shared" si="7"/>
        <v>153.7580453</v>
      </c>
      <c r="M13" s="20">
        <f t="shared" si="8"/>
        <v>2.73909063</v>
      </c>
      <c r="N13" s="20">
        <f t="shared" ref="N13:O13" si="17">(($V$6-J13)/$V$6)*100</f>
        <v>22.76382385</v>
      </c>
      <c r="O13" s="20">
        <f t="shared" si="17"/>
        <v>24.68544534</v>
      </c>
      <c r="P13" s="14">
        <f t="shared" si="10"/>
        <v>23.7246346</v>
      </c>
      <c r="Q13" s="20">
        <f t="shared" si="11"/>
        <v>1.358791589</v>
      </c>
      <c r="R13" s="20">
        <f t="shared" ref="R13:S13" si="18">(($S$6-J13)/D13)*0.0244</f>
        <v>-9.864017738</v>
      </c>
      <c r="S13" s="20">
        <f t="shared" si="18"/>
        <v>-9.585406806</v>
      </c>
      <c r="T13" s="20">
        <f t="shared" si="13"/>
        <v>-9.724712272</v>
      </c>
      <c r="U13" s="20">
        <f t="shared" si="14"/>
        <v>0.1970076795</v>
      </c>
    </row>
    <row r="14">
      <c r="C14" s="23">
        <v>10.0</v>
      </c>
      <c r="D14" s="9">
        <v>0.3014</v>
      </c>
      <c r="E14" s="9">
        <v>0.3003</v>
      </c>
      <c r="F14" s="44">
        <v>0.349</v>
      </c>
      <c r="G14" s="9">
        <v>0.26</v>
      </c>
      <c r="H14" s="11">
        <f t="shared" ref="H14:I14" si="19">F14*50</f>
        <v>17.45</v>
      </c>
      <c r="I14" s="11">
        <f t="shared" si="19"/>
        <v>13</v>
      </c>
      <c r="J14" s="20">
        <f t="shared" ref="J14:K14" si="20">(H14-0.0244)/0.1678</f>
        <v>103.8474374</v>
      </c>
      <c r="K14" s="20">
        <f t="shared" si="20"/>
        <v>77.32777116</v>
      </c>
      <c r="L14" s="20">
        <f t="shared" si="7"/>
        <v>90.58760429</v>
      </c>
      <c r="M14" s="20">
        <f t="shared" si="8"/>
        <v>18.75223585</v>
      </c>
      <c r="N14" s="20">
        <f t="shared" ref="N14:O14" si="21">(($V$6-J14)/$V$6)*100</f>
        <v>48.48398846</v>
      </c>
      <c r="O14" s="20">
        <f t="shared" si="21"/>
        <v>61.63970484</v>
      </c>
      <c r="P14" s="14">
        <f t="shared" si="10"/>
        <v>55.06184665</v>
      </c>
      <c r="Q14" s="20">
        <f t="shared" si="11"/>
        <v>9.302496264</v>
      </c>
      <c r="R14" s="20">
        <f t="shared" ref="R14:S14" si="22">(($S$6-J14)/D14)*0.0244</f>
        <v>-5.666680402</v>
      </c>
      <c r="S14" s="20">
        <f t="shared" si="22"/>
        <v>-3.532659395</v>
      </c>
      <c r="T14" s="20">
        <f t="shared" si="13"/>
        <v>-4.599669898</v>
      </c>
      <c r="U14" s="20">
        <f t="shared" si="14"/>
        <v>1.508980726</v>
      </c>
    </row>
    <row r="15">
      <c r="C15" s="23">
        <v>30.0</v>
      </c>
      <c r="D15" s="9">
        <v>0.3014</v>
      </c>
      <c r="E15" s="9">
        <v>0.3003</v>
      </c>
      <c r="F15" s="44">
        <v>0.18</v>
      </c>
      <c r="G15" s="9">
        <v>0.108</v>
      </c>
      <c r="H15" s="11">
        <f t="shared" ref="H15:I15" si="23">F15*50</f>
        <v>9</v>
      </c>
      <c r="I15" s="11">
        <f t="shared" si="23"/>
        <v>5.4</v>
      </c>
      <c r="J15" s="20">
        <f t="shared" ref="J15:K15" si="24">(H15-0.0244)/0.1678</f>
        <v>53.48986889</v>
      </c>
      <c r="K15" s="20">
        <f t="shared" si="24"/>
        <v>32.03575685</v>
      </c>
      <c r="L15" s="20">
        <f t="shared" si="7"/>
        <v>42.76281287</v>
      </c>
      <c r="M15" s="20">
        <f t="shared" si="8"/>
        <v>15.17034811</v>
      </c>
      <c r="N15" s="20">
        <f t="shared" ref="N15:O15" si="25">(($V$6-J15)/$V$6)*100</f>
        <v>73.46506788</v>
      </c>
      <c r="O15" s="20">
        <f t="shared" si="25"/>
        <v>84.10789461</v>
      </c>
      <c r="P15" s="14">
        <f t="shared" si="10"/>
        <v>78.78648124</v>
      </c>
      <c r="Q15" s="20">
        <f t="shared" si="11"/>
        <v>7.525614955</v>
      </c>
      <c r="R15" s="20">
        <f t="shared" ref="R15:S15" si="26">(($S$6-J15)/D15)*0.0244</f>
        <v>-1.589956208</v>
      </c>
      <c r="S15" s="20">
        <f t="shared" si="26"/>
        <v>0.1474110316</v>
      </c>
      <c r="T15" s="20">
        <f t="shared" si="13"/>
        <v>-0.721272588</v>
      </c>
      <c r="U15" s="20">
        <f t="shared" si="14"/>
        <v>1.228504156</v>
      </c>
    </row>
    <row r="16">
      <c r="C16" s="23">
        <v>60.0</v>
      </c>
      <c r="D16" s="9">
        <v>0.3014</v>
      </c>
      <c r="E16" s="9">
        <v>0.3003</v>
      </c>
      <c r="F16" s="32">
        <v>0.068</v>
      </c>
      <c r="G16" s="20">
        <v>0.053</v>
      </c>
      <c r="H16" s="11">
        <f t="shared" ref="H16:I16" si="27">F16*50</f>
        <v>3.4</v>
      </c>
      <c r="I16" s="11">
        <f t="shared" si="27"/>
        <v>2.65</v>
      </c>
      <c r="J16" s="20">
        <f t="shared" ref="J16:K16" si="28">(H16-0.0244)/0.1678</f>
        <v>20.11680572</v>
      </c>
      <c r="K16" s="20">
        <f t="shared" si="28"/>
        <v>15.64719905</v>
      </c>
      <c r="L16" s="20">
        <f t="shared" si="7"/>
        <v>17.88200238</v>
      </c>
      <c r="M16" s="20">
        <f t="shared" si="8"/>
        <v>3.160489189</v>
      </c>
      <c r="N16" s="20">
        <f t="shared" ref="N16:O16" si="29">(($V$6-J16)/$V$6)*100</f>
        <v>90.02057613</v>
      </c>
      <c r="O16" s="20">
        <f t="shared" si="29"/>
        <v>92.2378317</v>
      </c>
      <c r="P16" s="14">
        <f t="shared" si="10"/>
        <v>91.12920392</v>
      </c>
      <c r="Q16" s="20">
        <f t="shared" si="11"/>
        <v>1.567836449</v>
      </c>
      <c r="R16" s="20">
        <f t="shared" ref="R16:S16" si="30">(($S$6-J16)/D16)*0.0244</f>
        <v>1.11177817</v>
      </c>
      <c r="S16" s="20">
        <f t="shared" si="30"/>
        <v>1.479015462</v>
      </c>
      <c r="T16" s="20">
        <f t="shared" si="13"/>
        <v>1.295396816</v>
      </c>
      <c r="U16" s="20">
        <f t="shared" si="14"/>
        <v>0.2596759796</v>
      </c>
    </row>
    <row r="17">
      <c r="C17" s="23">
        <v>90.0</v>
      </c>
      <c r="D17" s="9">
        <v>0.3014</v>
      </c>
      <c r="E17" s="9">
        <v>0.3003</v>
      </c>
      <c r="F17" s="9">
        <v>0.047</v>
      </c>
      <c r="G17" s="9">
        <v>0.038</v>
      </c>
      <c r="H17" s="11">
        <f t="shared" ref="H17:I17" si="31">F17*50</f>
        <v>2.35</v>
      </c>
      <c r="I17" s="11">
        <f t="shared" si="31"/>
        <v>1.9</v>
      </c>
      <c r="J17" s="20">
        <f t="shared" ref="J17:K17" si="32">(H17-0.0244)/0.1678</f>
        <v>13.85935638</v>
      </c>
      <c r="K17" s="20">
        <f t="shared" si="32"/>
        <v>11.17759237</v>
      </c>
      <c r="L17" s="20">
        <f t="shared" si="7"/>
        <v>12.51847437</v>
      </c>
      <c r="M17" s="20">
        <f t="shared" si="8"/>
        <v>1.896293513</v>
      </c>
      <c r="N17" s="20">
        <f t="shared" ref="N17:O17" si="33">(($V$6-J17)/$V$6)*100</f>
        <v>93.12473393</v>
      </c>
      <c r="O17" s="20">
        <f t="shared" si="33"/>
        <v>94.45508727</v>
      </c>
      <c r="P17" s="14">
        <f t="shared" si="10"/>
        <v>93.7899106</v>
      </c>
      <c r="Q17" s="20">
        <f t="shared" si="11"/>
        <v>0.9407018694</v>
      </c>
      <c r="R17" s="20">
        <f t="shared" ref="R17:S17" si="34">(($S$6-J17)/D17)*0.0244</f>
        <v>1.618353366</v>
      </c>
      <c r="S17" s="20">
        <f t="shared" si="34"/>
        <v>1.842180307</v>
      </c>
      <c r="T17" s="20">
        <f t="shared" si="13"/>
        <v>1.730266836</v>
      </c>
      <c r="U17" s="20">
        <f t="shared" si="14"/>
        <v>0.1582695479</v>
      </c>
    </row>
    <row r="18">
      <c r="C18" s="53">
        <v>120.0</v>
      </c>
      <c r="D18" s="57">
        <v>0.3014</v>
      </c>
      <c r="E18" s="57">
        <v>0.3003</v>
      </c>
      <c r="F18" s="57">
        <v>0.027</v>
      </c>
      <c r="G18" s="57">
        <v>0.027</v>
      </c>
      <c r="H18" s="58">
        <f t="shared" ref="H18:I18" si="35">F18*50</f>
        <v>1.35</v>
      </c>
      <c r="I18" s="58">
        <f t="shared" si="35"/>
        <v>1.35</v>
      </c>
      <c r="J18" s="59">
        <f t="shared" ref="J18:K18" si="36">(H18-0.0244)/0.1678</f>
        <v>7.89988081</v>
      </c>
      <c r="K18" s="59">
        <f t="shared" si="36"/>
        <v>7.89988081</v>
      </c>
      <c r="L18" s="59">
        <f t="shared" si="7"/>
        <v>7.89988081</v>
      </c>
      <c r="M18" s="59">
        <f t="shared" si="8"/>
        <v>0</v>
      </c>
      <c r="N18" s="59">
        <f t="shared" ref="N18:O18" si="37">(($V$6-J18)/$V$6)*100</f>
        <v>96.08107469</v>
      </c>
      <c r="O18" s="59">
        <f t="shared" si="37"/>
        <v>96.08107469</v>
      </c>
      <c r="P18" s="55">
        <f t="shared" si="10"/>
        <v>96.08107469</v>
      </c>
      <c r="Q18" s="20">
        <f t="shared" si="11"/>
        <v>0</v>
      </c>
      <c r="R18" s="20">
        <f t="shared" ref="R18:S18" si="38">(($S$6-J18)/D18)*0.0244</f>
        <v>2.100805933</v>
      </c>
      <c r="S18" s="20">
        <f t="shared" si="38"/>
        <v>2.108501193</v>
      </c>
      <c r="T18" s="20">
        <f t="shared" si="13"/>
        <v>2.104653563</v>
      </c>
      <c r="U18" s="20">
        <f t="shared" si="14"/>
        <v>0.005441370407</v>
      </c>
    </row>
    <row r="19">
      <c r="C19" s="23">
        <v>180.0</v>
      </c>
      <c r="D19" s="9">
        <v>0.3014</v>
      </c>
      <c r="E19" s="9">
        <v>0.3003</v>
      </c>
      <c r="F19" s="9">
        <v>0.028</v>
      </c>
      <c r="G19" s="9">
        <v>0.041</v>
      </c>
      <c r="H19" s="11">
        <f t="shared" ref="H19:I19" si="39">F19*50</f>
        <v>1.4</v>
      </c>
      <c r="I19" s="11">
        <f t="shared" si="39"/>
        <v>2.05</v>
      </c>
      <c r="J19" s="20">
        <f t="shared" ref="J19:K19" si="40">(H19-0.0244)/0.1678</f>
        <v>8.197854589</v>
      </c>
      <c r="K19" s="20">
        <f t="shared" si="40"/>
        <v>12.07151371</v>
      </c>
      <c r="L19" s="20">
        <f t="shared" si="7"/>
        <v>10.13468415</v>
      </c>
      <c r="M19" s="20">
        <f t="shared" si="8"/>
        <v>2.73909063</v>
      </c>
      <c r="N19" s="20">
        <f t="shared" ref="N19:O19" si="41">(($V$6-J19)/$V$6)*100</f>
        <v>95.93325765</v>
      </c>
      <c r="O19" s="20">
        <f t="shared" si="41"/>
        <v>94.01163616</v>
      </c>
      <c r="P19" s="14">
        <f t="shared" si="10"/>
        <v>94.9724469</v>
      </c>
      <c r="Q19" s="20">
        <f t="shared" si="11"/>
        <v>1.358791589</v>
      </c>
      <c r="R19" s="20">
        <f t="shared" ref="R19:S19" si="42">(($S$6-J19)/D19)*0.0244</f>
        <v>2.076683305</v>
      </c>
      <c r="S19" s="20">
        <f t="shared" si="42"/>
        <v>1.769547338</v>
      </c>
      <c r="T19" s="20">
        <f t="shared" si="13"/>
        <v>1.923115321</v>
      </c>
      <c r="U19" s="20">
        <f t="shared" si="14"/>
        <v>0.2171779249</v>
      </c>
    </row>
    <row r="20">
      <c r="C20" s="23">
        <v>240.0</v>
      </c>
      <c r="D20" s="9">
        <v>0.3014</v>
      </c>
      <c r="E20" s="9">
        <v>0.3003</v>
      </c>
      <c r="F20" s="9">
        <v>0.018</v>
      </c>
      <c r="G20" s="9">
        <v>0.018</v>
      </c>
      <c r="H20" s="11">
        <f t="shared" ref="H20:I20" si="43">F20*50</f>
        <v>0.9</v>
      </c>
      <c r="I20" s="11">
        <f t="shared" si="43"/>
        <v>0.9</v>
      </c>
      <c r="J20" s="20">
        <f t="shared" ref="J20:K20" si="44">(H20-0.0244)/0.1678</f>
        <v>5.218116806</v>
      </c>
      <c r="K20" s="20">
        <f t="shared" si="44"/>
        <v>5.218116806</v>
      </c>
      <c r="L20" s="20">
        <f t="shared" si="7"/>
        <v>5.218116806</v>
      </c>
      <c r="M20" s="20">
        <f t="shared" si="8"/>
        <v>0</v>
      </c>
      <c r="N20" s="20">
        <f t="shared" ref="N20:O20" si="45">(($V$6-J20)/$V$6)*100</f>
        <v>97.41142803</v>
      </c>
      <c r="O20" s="20">
        <f t="shared" si="45"/>
        <v>97.41142803</v>
      </c>
      <c r="P20" s="14">
        <f t="shared" si="10"/>
        <v>97.41142803</v>
      </c>
      <c r="Q20" s="20">
        <f t="shared" si="11"/>
        <v>0</v>
      </c>
      <c r="R20" s="20">
        <f t="shared" ref="R20:S20" si="46">(($S$6-J20)/D20)*0.0244</f>
        <v>2.317909588</v>
      </c>
      <c r="S20" s="20">
        <f t="shared" si="46"/>
        <v>2.3264001</v>
      </c>
      <c r="T20" s="20">
        <f t="shared" si="13"/>
        <v>2.322154844</v>
      </c>
      <c r="U20" s="20">
        <f t="shared" si="14"/>
        <v>0.006003698125</v>
      </c>
    </row>
    <row r="21" ht="15.75" customHeight="1">
      <c r="C21" s="23">
        <v>300.0</v>
      </c>
      <c r="D21" s="9">
        <v>0.3014</v>
      </c>
      <c r="E21" s="9">
        <v>0.3003</v>
      </c>
      <c r="F21" s="9">
        <v>0.015</v>
      </c>
      <c r="G21" s="9">
        <v>0.016</v>
      </c>
      <c r="H21" s="11">
        <f t="shared" ref="H21:I21" si="47">F21*50</f>
        <v>0.75</v>
      </c>
      <c r="I21" s="11">
        <f t="shared" si="47"/>
        <v>0.8</v>
      </c>
      <c r="J21" s="20">
        <f t="shared" ref="J21:K21" si="48">(H21-0.0244)/0.1678</f>
        <v>4.324195471</v>
      </c>
      <c r="K21" s="20">
        <f t="shared" si="48"/>
        <v>4.622169249</v>
      </c>
      <c r="L21" s="20">
        <f t="shared" si="7"/>
        <v>4.47318236</v>
      </c>
      <c r="M21" s="20">
        <f t="shared" si="8"/>
        <v>0.2106992793</v>
      </c>
      <c r="N21" s="20">
        <f t="shared" ref="N21:O21" si="49">(($V$6-J21)/$V$6)*100</f>
        <v>97.85487914</v>
      </c>
      <c r="O21" s="20">
        <f t="shared" si="49"/>
        <v>97.70706211</v>
      </c>
      <c r="P21" s="14">
        <f t="shared" si="10"/>
        <v>97.78097063</v>
      </c>
      <c r="Q21" s="20">
        <f t="shared" si="11"/>
        <v>0.1045224299</v>
      </c>
      <c r="R21" s="20">
        <f t="shared" ref="R21:S21" si="50">(($S$6-J21)/D21)*0.0244</f>
        <v>2.390277473</v>
      </c>
      <c r="S21" s="20">
        <f t="shared" si="50"/>
        <v>2.374822079</v>
      </c>
      <c r="T21" s="20">
        <f t="shared" si="13"/>
        <v>2.382549776</v>
      </c>
      <c r="U21" s="20">
        <f t="shared" si="14"/>
        <v>0.01092861426</v>
      </c>
    </row>
    <row r="22" ht="15.75" customHeight="1">
      <c r="C22" s="23">
        <v>360.0</v>
      </c>
      <c r="D22" s="9">
        <v>0.3014</v>
      </c>
      <c r="E22" s="9">
        <v>0.3003</v>
      </c>
      <c r="F22" s="20">
        <v>0.02</v>
      </c>
      <c r="G22" s="9">
        <v>0.018</v>
      </c>
      <c r="H22" s="11">
        <f t="shared" ref="H22:I22" si="51">F22*50</f>
        <v>1</v>
      </c>
      <c r="I22" s="11">
        <f t="shared" si="51"/>
        <v>0.9</v>
      </c>
      <c r="J22" s="20">
        <f t="shared" ref="J22:K22" si="52">(H22-0.0244)/0.1678</f>
        <v>5.814064362</v>
      </c>
      <c r="K22" s="20">
        <f t="shared" si="52"/>
        <v>5.218116806</v>
      </c>
      <c r="L22" s="43">
        <f t="shared" si="7"/>
        <v>5.516090584</v>
      </c>
      <c r="M22" s="11">
        <f t="shared" si="8"/>
        <v>0.4213985585</v>
      </c>
      <c r="N22" s="20">
        <f t="shared" ref="N22:O22" si="53">(($V$6-J22)/$V$6)*100</f>
        <v>97.11579395</v>
      </c>
      <c r="O22" s="20">
        <f t="shared" si="53"/>
        <v>97.41142803</v>
      </c>
      <c r="P22" s="14">
        <f t="shared" si="10"/>
        <v>97.26361099</v>
      </c>
      <c r="Q22" s="20">
        <f t="shared" si="11"/>
        <v>0.2090448599</v>
      </c>
      <c r="R22" s="20">
        <f t="shared" ref="R22:S22" si="54">(($S$6-J22)/D22)*0.0244</f>
        <v>2.269664332</v>
      </c>
      <c r="S22" s="20">
        <f t="shared" si="54"/>
        <v>2.3264001</v>
      </c>
      <c r="T22" s="20">
        <f t="shared" si="13"/>
        <v>2.298032216</v>
      </c>
      <c r="U22" s="20">
        <f t="shared" si="14"/>
        <v>0.04011824633</v>
      </c>
    </row>
    <row r="23" ht="15.75" customHeight="1">
      <c r="C23" s="23">
        <v>480.0</v>
      </c>
      <c r="D23" s="9">
        <v>0.3014</v>
      </c>
      <c r="E23" s="9">
        <v>0.3003</v>
      </c>
      <c r="F23" s="9">
        <v>0.016</v>
      </c>
      <c r="G23" s="9">
        <v>0.017</v>
      </c>
      <c r="H23" s="11">
        <f t="shared" ref="H23:I23" si="55">F23*50</f>
        <v>0.8</v>
      </c>
      <c r="I23" s="11">
        <f t="shared" si="55"/>
        <v>0.85</v>
      </c>
      <c r="J23" s="20">
        <f t="shared" ref="J23:K23" si="56">(H23-0.0244)/0.1678</f>
        <v>4.622169249</v>
      </c>
      <c r="K23" s="20">
        <f t="shared" si="56"/>
        <v>4.920143027</v>
      </c>
      <c r="L23" s="20">
        <f t="shared" si="7"/>
        <v>4.771156138</v>
      </c>
      <c r="M23" s="20">
        <f t="shared" si="8"/>
        <v>0.2106992793</v>
      </c>
      <c r="N23" s="20">
        <f t="shared" ref="N23:O23" si="57">(($V$6-J23)/$V$6)*100</f>
        <v>97.70706211</v>
      </c>
      <c r="O23" s="20">
        <f t="shared" si="57"/>
        <v>97.55924507</v>
      </c>
      <c r="P23" s="14">
        <f t="shared" si="10"/>
        <v>97.63315359</v>
      </c>
      <c r="Q23" s="20">
        <f t="shared" si="11"/>
        <v>0.1045224299</v>
      </c>
      <c r="R23" s="20">
        <f t="shared" ref="R23:S23" si="58">(($S$6-J23)/D23)*0.0244</f>
        <v>2.366154845</v>
      </c>
      <c r="S23" s="20">
        <f t="shared" si="58"/>
        <v>2.350611089</v>
      </c>
      <c r="T23" s="20">
        <f t="shared" si="13"/>
        <v>2.358382967</v>
      </c>
      <c r="U23" s="20">
        <f t="shared" si="14"/>
        <v>0.01099109512</v>
      </c>
    </row>
    <row r="24" ht="15.75" customHeight="1">
      <c r="C24" s="23">
        <v>1440.0</v>
      </c>
      <c r="D24" s="9">
        <v>0.3014</v>
      </c>
      <c r="E24" s="9">
        <v>0.3003</v>
      </c>
      <c r="F24" s="9">
        <v>0.014</v>
      </c>
      <c r="G24" s="9">
        <v>0.017</v>
      </c>
      <c r="H24" s="11">
        <f t="shared" ref="H24:I24" si="59">F24*50</f>
        <v>0.7</v>
      </c>
      <c r="I24" s="11">
        <f t="shared" si="59"/>
        <v>0.85</v>
      </c>
      <c r="J24" s="20">
        <f t="shared" ref="J24:K24" si="60">(H24-0.0244)/0.1678</f>
        <v>4.026221692</v>
      </c>
      <c r="K24" s="20">
        <f t="shared" si="60"/>
        <v>4.920143027</v>
      </c>
      <c r="L24" s="11">
        <f t="shared" si="7"/>
        <v>4.47318236</v>
      </c>
      <c r="M24" s="11">
        <f t="shared" si="8"/>
        <v>0.6320978378</v>
      </c>
      <c r="N24" s="20">
        <f t="shared" ref="N24:O24" si="61">(($V$6-J24)/$V$6)*100</f>
        <v>98.00269618</v>
      </c>
      <c r="O24" s="20">
        <f t="shared" si="61"/>
        <v>97.55924507</v>
      </c>
      <c r="P24" s="14">
        <f t="shared" si="10"/>
        <v>97.78097063</v>
      </c>
      <c r="Q24" s="20">
        <f t="shared" si="11"/>
        <v>0.3135672898</v>
      </c>
      <c r="R24" s="20">
        <f t="shared" ref="R24:S24" si="62">(($S$6-J24)/D24)*0.0244</f>
        <v>2.414400102</v>
      </c>
      <c r="S24" s="20">
        <f t="shared" si="62"/>
        <v>2.350611089</v>
      </c>
      <c r="T24" s="20">
        <f t="shared" si="13"/>
        <v>2.382505596</v>
      </c>
      <c r="U24" s="20">
        <f t="shared" si="14"/>
        <v>0.04510564332</v>
      </c>
    </row>
    <row r="25" ht="15.75" customHeight="1"/>
    <row r="26" ht="15.75" customHeight="1"/>
    <row r="27" ht="15.75" customHeight="1"/>
    <row r="28" ht="15.75" customHeight="1"/>
    <row r="29" ht="15.75" customHeight="1">
      <c r="C29" s="26" t="s">
        <v>224</v>
      </c>
      <c r="D29" s="27"/>
      <c r="E29" s="8"/>
      <c r="G29" s="28" t="s">
        <v>59</v>
      </c>
    </row>
    <row r="30" ht="15.75" customHeight="1"/>
    <row r="31" ht="15.75" customHeight="1">
      <c r="C31" s="15" t="s">
        <v>34</v>
      </c>
      <c r="D31" s="7" t="s">
        <v>5</v>
      </c>
      <c r="E31" s="8"/>
      <c r="F31" s="30" t="s">
        <v>6</v>
      </c>
      <c r="G31" s="8"/>
      <c r="H31" s="7" t="s">
        <v>36</v>
      </c>
      <c r="I31" s="8"/>
      <c r="J31" s="7" t="s">
        <v>37</v>
      </c>
      <c r="K31" s="8"/>
      <c r="L31" s="9" t="s">
        <v>7</v>
      </c>
      <c r="M31" s="9" t="s">
        <v>38</v>
      </c>
      <c r="N31" s="7" t="s">
        <v>9</v>
      </c>
      <c r="O31" s="8"/>
      <c r="P31" s="31" t="s">
        <v>10</v>
      </c>
      <c r="Q31" s="9" t="s">
        <v>38</v>
      </c>
      <c r="R31" s="7" t="s">
        <v>11</v>
      </c>
      <c r="S31" s="8"/>
      <c r="T31" s="9" t="s">
        <v>12</v>
      </c>
      <c r="U31" s="9" t="s">
        <v>38</v>
      </c>
    </row>
    <row r="32" ht="15.75" customHeight="1">
      <c r="C32" s="23"/>
      <c r="D32" s="9" t="s">
        <v>15</v>
      </c>
      <c r="E32" s="9" t="s">
        <v>16</v>
      </c>
      <c r="F32" s="32" t="s">
        <v>17</v>
      </c>
      <c r="G32" s="9" t="s">
        <v>18</v>
      </c>
      <c r="H32" s="9" t="s">
        <v>19</v>
      </c>
      <c r="I32" s="9" t="s">
        <v>20</v>
      </c>
      <c r="J32" s="9" t="s">
        <v>21</v>
      </c>
      <c r="K32" s="9" t="s">
        <v>22</v>
      </c>
      <c r="L32" s="9"/>
      <c r="M32" s="9"/>
      <c r="N32" s="9"/>
      <c r="O32" s="9"/>
      <c r="P32" s="31"/>
      <c r="Q32" s="9"/>
      <c r="R32" s="9">
        <v>1.0</v>
      </c>
      <c r="S32" s="9">
        <v>2.0</v>
      </c>
      <c r="T32" s="9"/>
      <c r="U32" s="9"/>
    </row>
    <row r="33" ht="15.75" customHeight="1">
      <c r="C33" s="23">
        <v>0.0</v>
      </c>
      <c r="D33" s="9">
        <v>0.3011</v>
      </c>
      <c r="E33" s="9">
        <v>0.301</v>
      </c>
      <c r="F33" s="32">
        <v>0.677</v>
      </c>
      <c r="G33" s="32">
        <v>0.677</v>
      </c>
      <c r="H33" s="11">
        <f t="shared" ref="H33:I33" si="63">F33*50</f>
        <v>33.85</v>
      </c>
      <c r="I33" s="11">
        <f t="shared" si="63"/>
        <v>33.85</v>
      </c>
      <c r="J33" s="20">
        <f t="shared" ref="J33:K33" si="64">(H33-0.0244)/0.1678</f>
        <v>201.5828367</v>
      </c>
      <c r="K33" s="20">
        <f t="shared" si="64"/>
        <v>201.5828367</v>
      </c>
      <c r="L33" s="20">
        <f t="shared" ref="L33:L46" si="69">(J33+K33)/2</f>
        <v>201.5828367</v>
      </c>
      <c r="M33" s="20">
        <f t="shared" ref="M33:M46" si="70">STDEV(J33:K33)</f>
        <v>0</v>
      </c>
      <c r="N33" s="20">
        <f t="shared" ref="N33:O33" si="65">(($V$6-J33)/$V$6)*100</f>
        <v>0</v>
      </c>
      <c r="O33" s="20">
        <f t="shared" si="65"/>
        <v>0</v>
      </c>
      <c r="P33" s="14">
        <f t="shared" ref="P33:P39" si="72">(N33+O33)/2</f>
        <v>0</v>
      </c>
      <c r="Q33" s="20">
        <f t="shared" ref="Q33:Q46" si="73">STDEV(N33:O33)</f>
        <v>0</v>
      </c>
      <c r="R33" s="20">
        <f t="shared" ref="R33:S33" si="66">(($S$6-J33)/D33)*0.0244</f>
        <v>-13.5924318</v>
      </c>
      <c r="S33" s="20">
        <f t="shared" si="66"/>
        <v>-13.59694756</v>
      </c>
      <c r="T33" s="20">
        <f t="shared" ref="T33:T46" si="75">(R33+S33)/2</f>
        <v>-13.59468968</v>
      </c>
      <c r="U33" s="20">
        <f t="shared" ref="U33:U46" si="76">STDEV(R33:S33)</f>
        <v>0.003193123156</v>
      </c>
    </row>
    <row r="34" ht="15.75" customHeight="1">
      <c r="C34" s="23">
        <v>1.0</v>
      </c>
      <c r="D34" s="9">
        <v>0.3011</v>
      </c>
      <c r="E34" s="9">
        <v>0.301</v>
      </c>
      <c r="F34" s="32">
        <v>0.676</v>
      </c>
      <c r="G34" s="9">
        <v>0.571</v>
      </c>
      <c r="H34" s="11">
        <f t="shared" ref="H34:I34" si="67">F34*50</f>
        <v>33.8</v>
      </c>
      <c r="I34" s="11">
        <f t="shared" si="67"/>
        <v>28.55</v>
      </c>
      <c r="J34" s="20">
        <f t="shared" ref="J34:K34" si="68">(H34-0.0244)/0.1678</f>
        <v>201.2848629</v>
      </c>
      <c r="K34" s="20">
        <f t="shared" si="68"/>
        <v>169.9976162</v>
      </c>
      <c r="L34" s="20">
        <f t="shared" si="69"/>
        <v>185.6412396</v>
      </c>
      <c r="M34" s="20">
        <f t="shared" si="70"/>
        <v>22.12342432</v>
      </c>
      <c r="N34" s="20">
        <f t="shared" ref="N34:O34" si="71">(($V$6-J34)/$V$6)*100</f>
        <v>0.147817038</v>
      </c>
      <c r="O34" s="20">
        <f t="shared" si="71"/>
        <v>15.66860603</v>
      </c>
      <c r="P34" s="14">
        <f t="shared" si="72"/>
        <v>7.908211532</v>
      </c>
      <c r="Q34" s="20">
        <f t="shared" si="73"/>
        <v>10.97485514</v>
      </c>
      <c r="R34" s="20">
        <f t="shared" ref="R34:S34" si="74">(($S$6-J34)/D34)*0.0244</f>
        <v>-13.56828514</v>
      </c>
      <c r="S34" s="20">
        <f t="shared" si="74"/>
        <v>-11.03655095</v>
      </c>
      <c r="T34" s="20">
        <f t="shared" si="75"/>
        <v>-12.30241804</v>
      </c>
      <c r="U34" s="20">
        <f t="shared" si="76"/>
        <v>1.790206415</v>
      </c>
    </row>
    <row r="35" ht="15.75" customHeight="1">
      <c r="C35" s="23">
        <v>5.0</v>
      </c>
      <c r="D35" s="9">
        <v>0.3011</v>
      </c>
      <c r="E35" s="9">
        <v>0.301</v>
      </c>
      <c r="F35" s="32">
        <v>0.537</v>
      </c>
      <c r="G35" s="20">
        <v>0.575</v>
      </c>
      <c r="H35" s="11">
        <f t="shared" ref="H35:I35" si="77">F35*50</f>
        <v>26.85</v>
      </c>
      <c r="I35" s="11">
        <f t="shared" si="77"/>
        <v>28.75</v>
      </c>
      <c r="J35" s="20">
        <f t="shared" ref="J35:K35" si="78">(H35-0.0244)/0.1678</f>
        <v>159.8665077</v>
      </c>
      <c r="K35" s="20">
        <f t="shared" si="78"/>
        <v>171.1895113</v>
      </c>
      <c r="L35" s="20">
        <f t="shared" si="69"/>
        <v>165.5280095</v>
      </c>
      <c r="M35" s="20">
        <f t="shared" si="70"/>
        <v>8.006572612</v>
      </c>
      <c r="N35" s="20">
        <f t="shared" ref="N35:O35" si="79">(($V$6-J35)/$V$6)*100</f>
        <v>20.69438532</v>
      </c>
      <c r="O35" s="20">
        <f t="shared" si="79"/>
        <v>15.07733787</v>
      </c>
      <c r="P35" s="14">
        <f t="shared" si="72"/>
        <v>17.8858616</v>
      </c>
      <c r="Q35" s="20">
        <f t="shared" si="73"/>
        <v>3.971852337</v>
      </c>
      <c r="R35" s="20">
        <f t="shared" ref="R35:S35" si="80">(($S$6-J35)/D35)*0.0244</f>
        <v>-10.211899</v>
      </c>
      <c r="S35" s="20">
        <f t="shared" si="80"/>
        <v>-11.13316969</v>
      </c>
      <c r="T35" s="20">
        <f t="shared" si="75"/>
        <v>-10.67253434</v>
      </c>
      <c r="U35" s="20">
        <f t="shared" si="76"/>
        <v>0.6514367509</v>
      </c>
    </row>
    <row r="36" ht="15.75" customHeight="1">
      <c r="C36" s="23">
        <v>10.0</v>
      </c>
      <c r="D36" s="9">
        <v>0.3011</v>
      </c>
      <c r="E36" s="9">
        <v>0.301</v>
      </c>
      <c r="F36" s="44">
        <v>0.603</v>
      </c>
      <c r="G36" s="20">
        <v>0.564</v>
      </c>
      <c r="H36" s="11">
        <f t="shared" ref="H36:I36" si="81">F36*50</f>
        <v>30.15</v>
      </c>
      <c r="I36" s="11">
        <f t="shared" si="81"/>
        <v>28.2</v>
      </c>
      <c r="J36" s="20">
        <f t="shared" ref="J36:K36" si="82">(H36-0.0244)/0.1678</f>
        <v>179.5327771</v>
      </c>
      <c r="K36" s="20">
        <f t="shared" si="82"/>
        <v>167.9117998</v>
      </c>
      <c r="L36" s="20">
        <f t="shared" si="69"/>
        <v>173.7222884</v>
      </c>
      <c r="M36" s="20">
        <f t="shared" si="70"/>
        <v>8.217271891</v>
      </c>
      <c r="N36" s="20">
        <f t="shared" ref="N36:O36" si="83">(($V$6-J36)/$V$6)*100</f>
        <v>10.93846081</v>
      </c>
      <c r="O36" s="20">
        <f t="shared" si="83"/>
        <v>16.70332529</v>
      </c>
      <c r="P36" s="14">
        <f t="shared" si="72"/>
        <v>13.82089305</v>
      </c>
      <c r="Q36" s="20">
        <f t="shared" si="73"/>
        <v>4.076374767</v>
      </c>
      <c r="R36" s="20">
        <f t="shared" ref="R36:S36" si="84">(($S$6-J36)/D36)*0.0244</f>
        <v>-11.80557875</v>
      </c>
      <c r="S36" s="20">
        <f t="shared" si="84"/>
        <v>-10.86746815</v>
      </c>
      <c r="T36" s="20">
        <f t="shared" si="75"/>
        <v>-11.33652345</v>
      </c>
      <c r="U36" s="20">
        <f t="shared" si="76"/>
        <v>0.6633443643</v>
      </c>
    </row>
    <row r="37" ht="15.75" customHeight="1">
      <c r="C37" s="23">
        <v>30.0</v>
      </c>
      <c r="D37" s="9">
        <v>0.3011</v>
      </c>
      <c r="E37" s="9">
        <v>0.301</v>
      </c>
      <c r="F37" s="44">
        <v>0.542</v>
      </c>
      <c r="G37" s="9">
        <v>0.519</v>
      </c>
      <c r="H37" s="11">
        <f t="shared" ref="H37:I37" si="85">F37*50</f>
        <v>27.1</v>
      </c>
      <c r="I37" s="11">
        <f t="shared" si="85"/>
        <v>25.95</v>
      </c>
      <c r="J37" s="20">
        <f t="shared" ref="J37:K37" si="86">(H37-0.0244)/0.1678</f>
        <v>161.3563766</v>
      </c>
      <c r="K37" s="20">
        <f t="shared" si="86"/>
        <v>154.5029797</v>
      </c>
      <c r="L37" s="20">
        <f t="shared" si="69"/>
        <v>157.9296782</v>
      </c>
      <c r="M37" s="20">
        <f t="shared" si="70"/>
        <v>4.846083423</v>
      </c>
      <c r="N37" s="20">
        <f t="shared" ref="N37:O37" si="87">(($V$6-J37)/$V$6)*100</f>
        <v>19.95530013</v>
      </c>
      <c r="O37" s="20">
        <f t="shared" si="87"/>
        <v>23.355092</v>
      </c>
      <c r="P37" s="14">
        <f t="shared" si="72"/>
        <v>21.65519606</v>
      </c>
      <c r="Q37" s="20">
        <f t="shared" si="73"/>
        <v>2.404015888</v>
      </c>
      <c r="R37" s="20">
        <f t="shared" ref="R37:S37" si="88">(($S$6-J37)/D37)*0.0244</f>
        <v>-10.33263231</v>
      </c>
      <c r="S37" s="20">
        <f t="shared" si="88"/>
        <v>-9.780507328</v>
      </c>
      <c r="T37" s="20">
        <f t="shared" si="75"/>
        <v>-10.05656982</v>
      </c>
      <c r="U37" s="20">
        <f t="shared" si="76"/>
        <v>0.3904113225</v>
      </c>
    </row>
    <row r="38" ht="15.75" customHeight="1">
      <c r="C38" s="23">
        <v>60.0</v>
      </c>
      <c r="D38" s="9">
        <v>0.3011</v>
      </c>
      <c r="E38" s="9">
        <v>0.301</v>
      </c>
      <c r="F38" s="32">
        <v>0.493</v>
      </c>
      <c r="G38" s="20">
        <v>0.359</v>
      </c>
      <c r="H38" s="11">
        <f t="shared" ref="H38:I38" si="89">F38*50</f>
        <v>24.65</v>
      </c>
      <c r="I38" s="11">
        <f t="shared" si="89"/>
        <v>17.95</v>
      </c>
      <c r="J38" s="20">
        <f t="shared" ref="J38:K38" si="90">(H38-0.0244)/0.1678</f>
        <v>146.7556615</v>
      </c>
      <c r="K38" s="20">
        <f t="shared" si="90"/>
        <v>106.8271752</v>
      </c>
      <c r="L38" s="20">
        <f t="shared" si="69"/>
        <v>126.7914184</v>
      </c>
      <c r="M38" s="20">
        <f t="shared" si="70"/>
        <v>28.23370342</v>
      </c>
      <c r="N38" s="20">
        <f t="shared" ref="N38:O38" si="91">(($V$6-J38)/$V$6)*100</f>
        <v>27.19833499</v>
      </c>
      <c r="O38" s="20">
        <f t="shared" si="91"/>
        <v>47.00581808</v>
      </c>
      <c r="P38" s="14">
        <f t="shared" si="72"/>
        <v>37.10207653</v>
      </c>
      <c r="Q38" s="20">
        <f t="shared" si="73"/>
        <v>14.00600561</v>
      </c>
      <c r="R38" s="20">
        <f t="shared" ref="R38:S38" si="92">(($S$6-J38)/D38)*0.0244</f>
        <v>-9.149445834</v>
      </c>
      <c r="S38" s="20">
        <f t="shared" si="92"/>
        <v>-5.915757725</v>
      </c>
      <c r="T38" s="20">
        <f t="shared" si="75"/>
        <v>-7.532601779</v>
      </c>
      <c r="U38" s="20">
        <f t="shared" si="76"/>
        <v>2.28656279</v>
      </c>
    </row>
    <row r="39" ht="15.75" customHeight="1">
      <c r="C39" s="23">
        <v>90.0</v>
      </c>
      <c r="D39" s="9">
        <v>0.3011</v>
      </c>
      <c r="E39" s="9">
        <v>0.301</v>
      </c>
      <c r="F39" s="9">
        <v>0.381</v>
      </c>
      <c r="G39" s="9">
        <v>0.305</v>
      </c>
      <c r="H39" s="11">
        <f t="shared" ref="H39:I39" si="93">F39*50</f>
        <v>19.05</v>
      </c>
      <c r="I39" s="11">
        <f t="shared" si="93"/>
        <v>15.25</v>
      </c>
      <c r="J39" s="20">
        <f t="shared" ref="J39:K39" si="94">(H39-0.0244)/0.1678</f>
        <v>113.3825983</v>
      </c>
      <c r="K39" s="20">
        <f t="shared" si="94"/>
        <v>90.73659118</v>
      </c>
      <c r="L39" s="20">
        <f t="shared" si="69"/>
        <v>102.0595948</v>
      </c>
      <c r="M39" s="20">
        <f t="shared" si="70"/>
        <v>16.01314522</v>
      </c>
      <c r="N39" s="20">
        <f t="shared" ref="N39:O39" si="95">(($V$6-J39)/$V$6)*100</f>
        <v>43.75384324</v>
      </c>
      <c r="O39" s="20">
        <f t="shared" si="95"/>
        <v>54.98793813</v>
      </c>
      <c r="P39" s="14">
        <f t="shared" si="72"/>
        <v>49.37089069</v>
      </c>
      <c r="Q39" s="20">
        <f t="shared" si="73"/>
        <v>7.943704675</v>
      </c>
      <c r="R39" s="20">
        <f t="shared" ref="R39:S39" si="96">(($S$6-J39)/D39)*0.0244</f>
        <v>-6.445019592</v>
      </c>
      <c r="S39" s="20">
        <f t="shared" si="96"/>
        <v>-4.611404734</v>
      </c>
      <c r="T39" s="20">
        <f t="shared" si="75"/>
        <v>-5.528212163</v>
      </c>
      <c r="U39" s="20">
        <f t="shared" si="76"/>
        <v>1.296561501</v>
      </c>
    </row>
    <row r="40" ht="15.75" customHeight="1">
      <c r="C40" s="23">
        <v>120.0</v>
      </c>
      <c r="D40" s="9">
        <v>0.3011</v>
      </c>
      <c r="E40" s="9">
        <v>0.301</v>
      </c>
      <c r="F40" s="20">
        <v>0.38</v>
      </c>
      <c r="G40" s="9">
        <v>0.186</v>
      </c>
      <c r="H40" s="11">
        <f t="shared" ref="H40:I40" si="97">F40*50</f>
        <v>19</v>
      </c>
      <c r="I40" s="11">
        <f t="shared" si="97"/>
        <v>9.3</v>
      </c>
      <c r="J40" s="20">
        <f t="shared" ref="J40:K40" si="98">(H40-0.0244)/0.1678</f>
        <v>113.0846246</v>
      </c>
      <c r="K40" s="20">
        <f t="shared" si="98"/>
        <v>55.27771156</v>
      </c>
      <c r="L40" s="20">
        <f t="shared" si="69"/>
        <v>84.18116806</v>
      </c>
      <c r="M40" s="20">
        <f t="shared" si="70"/>
        <v>40.87566018</v>
      </c>
      <c r="N40" s="20">
        <f t="shared" ref="N40:O40" si="99">(($V$6-J40)/$V$6)*100</f>
        <v>43.90166028</v>
      </c>
      <c r="O40" s="20">
        <f t="shared" si="99"/>
        <v>72.57816565</v>
      </c>
      <c r="P40" s="14">
        <v>55.0</v>
      </c>
      <c r="Q40" s="20">
        <f t="shared" si="73"/>
        <v>20.27735141</v>
      </c>
      <c r="R40" s="20">
        <f t="shared" ref="R40:S40" si="100">(($S$6-J40)/D40)*0.0244</f>
        <v>-6.42087293</v>
      </c>
      <c r="S40" s="20">
        <f t="shared" si="100"/>
        <v>-1.736997216</v>
      </c>
      <c r="T40" s="20">
        <f t="shared" si="75"/>
        <v>-4.078935073</v>
      </c>
      <c r="U40" s="20">
        <f t="shared" si="76"/>
        <v>3.312000279</v>
      </c>
    </row>
    <row r="41" ht="15.75" customHeight="1">
      <c r="C41" s="23">
        <v>180.0</v>
      </c>
      <c r="D41" s="9">
        <v>0.3011</v>
      </c>
      <c r="E41" s="9">
        <v>0.301</v>
      </c>
      <c r="F41" s="20">
        <v>0.41</v>
      </c>
      <c r="G41" s="9">
        <v>0.188</v>
      </c>
      <c r="H41" s="11">
        <f t="shared" ref="H41:I41" si="101">F41*50</f>
        <v>20.5</v>
      </c>
      <c r="I41" s="11">
        <f t="shared" si="101"/>
        <v>9.4</v>
      </c>
      <c r="J41" s="20">
        <f t="shared" ref="J41:K41" si="102">(H41-0.0244)/0.1678</f>
        <v>122.0238379</v>
      </c>
      <c r="K41" s="20">
        <f t="shared" si="102"/>
        <v>55.87365912</v>
      </c>
      <c r="L41" s="20">
        <f t="shared" si="69"/>
        <v>88.94874851</v>
      </c>
      <c r="M41" s="20">
        <f t="shared" si="70"/>
        <v>46.77524</v>
      </c>
      <c r="N41" s="20">
        <f t="shared" ref="N41:O41" si="103">(($V$6-J41)/$V$6)*100</f>
        <v>39.46714914</v>
      </c>
      <c r="O41" s="20">
        <f t="shared" si="103"/>
        <v>72.28253157</v>
      </c>
      <c r="P41" s="14">
        <v>58.0</v>
      </c>
      <c r="Q41" s="20">
        <f t="shared" si="73"/>
        <v>23.20397945</v>
      </c>
      <c r="R41" s="20">
        <f t="shared" ref="R41:S41" si="104">(($S$6-J41)/D41)*0.0244</f>
        <v>-7.145272816</v>
      </c>
      <c r="S41" s="20">
        <f t="shared" si="104"/>
        <v>-1.785306586</v>
      </c>
      <c r="T41" s="20">
        <f t="shared" si="75"/>
        <v>-4.465289701</v>
      </c>
      <c r="U41" s="20">
        <f t="shared" si="76"/>
        <v>3.790068468</v>
      </c>
    </row>
    <row r="42" ht="15.75" customHeight="1">
      <c r="C42" s="23">
        <v>240.0</v>
      </c>
      <c r="D42" s="9">
        <v>0.3011</v>
      </c>
      <c r="E42" s="9">
        <v>0.301</v>
      </c>
      <c r="F42" s="9">
        <v>0.154</v>
      </c>
      <c r="G42" s="9">
        <v>0.294</v>
      </c>
      <c r="H42" s="11">
        <f t="shared" ref="H42:I42" si="105">F42*50</f>
        <v>7.7</v>
      </c>
      <c r="I42" s="11">
        <f t="shared" si="105"/>
        <v>14.7</v>
      </c>
      <c r="J42" s="20">
        <f t="shared" ref="J42:K42" si="106">(H42-0.0244)/0.1678</f>
        <v>45.74255066</v>
      </c>
      <c r="K42" s="20">
        <f t="shared" si="106"/>
        <v>87.45887962</v>
      </c>
      <c r="L42" s="20">
        <f t="shared" si="69"/>
        <v>66.60071514</v>
      </c>
      <c r="M42" s="20">
        <f t="shared" si="70"/>
        <v>29.4978991</v>
      </c>
      <c r="N42" s="20">
        <f t="shared" ref="N42:O42" si="107">(($V$6-J42)/$V$6)*100</f>
        <v>77.30831087</v>
      </c>
      <c r="O42" s="20">
        <f t="shared" si="107"/>
        <v>56.61392555</v>
      </c>
      <c r="P42" s="14">
        <f t="shared" ref="P42:P46" si="112">(N42+O42)/2</f>
        <v>66.96111821</v>
      </c>
      <c r="Q42" s="20">
        <f t="shared" si="73"/>
        <v>14.63314019</v>
      </c>
      <c r="R42" s="20">
        <f t="shared" ref="R42:S42" si="108">(($S$6-J42)/D42)*0.0244</f>
        <v>-0.9637271205</v>
      </c>
      <c r="S42" s="20">
        <f t="shared" si="108"/>
        <v>-4.345703198</v>
      </c>
      <c r="T42" s="20">
        <f t="shared" si="75"/>
        <v>-2.654715159</v>
      </c>
      <c r="U42" s="20">
        <f t="shared" si="76"/>
        <v>2.391418218</v>
      </c>
    </row>
    <row r="43" ht="15.75" customHeight="1">
      <c r="C43" s="200">
        <v>300.0</v>
      </c>
      <c r="D43" s="9">
        <v>0.3011</v>
      </c>
      <c r="E43" s="9">
        <v>0.301</v>
      </c>
      <c r="F43" s="9">
        <v>0.137</v>
      </c>
      <c r="G43" s="9">
        <v>0.264</v>
      </c>
      <c r="H43" s="11">
        <f t="shared" ref="H43:I43" si="109">F43*50</f>
        <v>6.85</v>
      </c>
      <c r="I43" s="11">
        <f t="shared" si="109"/>
        <v>13.2</v>
      </c>
      <c r="J43" s="20">
        <f t="shared" ref="J43:K43" si="110">(H43-0.0244)/0.1678</f>
        <v>40.67699642</v>
      </c>
      <c r="K43" s="20">
        <f t="shared" si="110"/>
        <v>78.51966627</v>
      </c>
      <c r="L43" s="20">
        <f t="shared" si="69"/>
        <v>59.59833135</v>
      </c>
      <c r="M43" s="20">
        <f t="shared" si="70"/>
        <v>26.75880847</v>
      </c>
      <c r="N43" s="20">
        <f t="shared" ref="N43:O43" si="111">(($V$6-J43)/$V$6)*100</f>
        <v>79.82120051</v>
      </c>
      <c r="O43" s="20">
        <f t="shared" si="111"/>
        <v>61.04843669</v>
      </c>
      <c r="P43" s="14">
        <f t="shared" si="112"/>
        <v>70.4348186</v>
      </c>
      <c r="Q43" s="20">
        <f t="shared" si="73"/>
        <v>13.2743486</v>
      </c>
      <c r="R43" s="20">
        <f t="shared" ref="R43:S43" si="113">(($S$6-J43)/D43)*0.0244</f>
        <v>-0.5532338517</v>
      </c>
      <c r="S43" s="20">
        <f t="shared" si="113"/>
        <v>-3.621062648</v>
      </c>
      <c r="T43" s="20">
        <f t="shared" si="75"/>
        <v>-2.08714825</v>
      </c>
      <c r="U43" s="20">
        <f t="shared" si="76"/>
        <v>2.169282545</v>
      </c>
    </row>
    <row r="44" ht="15.75" customHeight="1">
      <c r="C44" s="23">
        <v>360.0</v>
      </c>
      <c r="D44" s="9">
        <v>0.3011</v>
      </c>
      <c r="E44" s="9">
        <v>0.301</v>
      </c>
      <c r="F44" s="20">
        <v>0.12</v>
      </c>
      <c r="G44" s="9">
        <v>0.283</v>
      </c>
      <c r="H44" s="11">
        <f t="shared" ref="H44:I44" si="114">F44*50</f>
        <v>6</v>
      </c>
      <c r="I44" s="11">
        <f t="shared" si="114"/>
        <v>14.15</v>
      </c>
      <c r="J44" s="20">
        <f t="shared" ref="J44:K44" si="115">(H44-0.0244)/0.1678</f>
        <v>35.61144219</v>
      </c>
      <c r="K44" s="20">
        <f t="shared" si="115"/>
        <v>84.18116806</v>
      </c>
      <c r="L44" s="20">
        <f t="shared" si="69"/>
        <v>59.89630513</v>
      </c>
      <c r="M44" s="20">
        <f t="shared" si="70"/>
        <v>34.34398252</v>
      </c>
      <c r="N44" s="20">
        <f t="shared" ref="N44:O44" si="116">(($V$6-J44)/$V$6)*100</f>
        <v>82.33409016</v>
      </c>
      <c r="O44" s="20">
        <f t="shared" si="116"/>
        <v>58.23991297</v>
      </c>
      <c r="P44" s="14">
        <f t="shared" si="112"/>
        <v>70.28700156</v>
      </c>
      <c r="Q44" s="20">
        <f t="shared" si="73"/>
        <v>17.03715608</v>
      </c>
      <c r="R44" s="20">
        <f t="shared" ref="R44:S44" si="117">(($S$6-J44)/D44)*0.0244</f>
        <v>-0.1427405829</v>
      </c>
      <c r="S44" s="20">
        <f t="shared" si="117"/>
        <v>-4.080001663</v>
      </c>
      <c r="T44" s="20">
        <f t="shared" si="75"/>
        <v>-2.111371123</v>
      </c>
      <c r="U44" s="20">
        <f t="shared" si="76"/>
        <v>2.784064009</v>
      </c>
    </row>
    <row r="45" ht="15.75" customHeight="1">
      <c r="C45" s="23">
        <v>480.0</v>
      </c>
      <c r="D45" s="9">
        <v>0.3011</v>
      </c>
      <c r="E45" s="9">
        <v>0.301</v>
      </c>
      <c r="F45" s="20">
        <v>0.088</v>
      </c>
      <c r="G45" s="9">
        <v>0.316</v>
      </c>
      <c r="H45" s="11">
        <f t="shared" ref="H45:I45" si="118">F45*50</f>
        <v>4.4</v>
      </c>
      <c r="I45" s="11">
        <f t="shared" si="118"/>
        <v>15.8</v>
      </c>
      <c r="J45" s="20">
        <f t="shared" ref="J45:K45" si="119">(H45-0.0244)/0.1678</f>
        <v>26.07628129</v>
      </c>
      <c r="K45" s="20">
        <f t="shared" si="119"/>
        <v>94.01430274</v>
      </c>
      <c r="L45" s="20">
        <f t="shared" si="69"/>
        <v>60.04529201</v>
      </c>
      <c r="M45" s="20">
        <f t="shared" si="70"/>
        <v>48.03943567</v>
      </c>
      <c r="N45" s="20">
        <f t="shared" ref="N45:O45" si="120">(($V$6-J45)/$V$6)*100</f>
        <v>87.06423537</v>
      </c>
      <c r="O45" s="20">
        <f t="shared" si="120"/>
        <v>53.36195071</v>
      </c>
      <c r="P45" s="14">
        <f t="shared" si="112"/>
        <v>70.21309304</v>
      </c>
      <c r="Q45" s="20">
        <f t="shared" si="73"/>
        <v>23.83111402</v>
      </c>
      <c r="R45" s="20">
        <f t="shared" ref="R45:S45" si="121">(($S$6-J45)/D45)*0.0244</f>
        <v>0.629952629</v>
      </c>
      <c r="S45" s="20">
        <f t="shared" si="121"/>
        <v>-4.877106269</v>
      </c>
      <c r="T45" s="20">
        <f t="shared" si="75"/>
        <v>-2.12357682</v>
      </c>
      <c r="U45" s="20">
        <f t="shared" si="76"/>
        <v>3.894078691</v>
      </c>
    </row>
    <row r="46" ht="15.75" customHeight="1">
      <c r="C46" s="23">
        <v>1440.0</v>
      </c>
      <c r="D46" s="9">
        <v>0.3011</v>
      </c>
      <c r="E46" s="9">
        <v>0.301</v>
      </c>
      <c r="F46" s="9">
        <v>0.085</v>
      </c>
      <c r="G46" s="9">
        <v>0.234</v>
      </c>
      <c r="H46" s="11">
        <f t="shared" ref="H46:I46" si="122">F46*50</f>
        <v>4.25</v>
      </c>
      <c r="I46" s="11">
        <f t="shared" si="122"/>
        <v>11.7</v>
      </c>
      <c r="J46" s="20">
        <f t="shared" ref="J46:K46" si="123">(H46-0.0244)/0.1678</f>
        <v>25.18235995</v>
      </c>
      <c r="K46" s="20">
        <f t="shared" si="123"/>
        <v>69.58045292</v>
      </c>
      <c r="L46" s="20">
        <f t="shared" si="69"/>
        <v>47.38140644</v>
      </c>
      <c r="M46" s="20">
        <f t="shared" si="70"/>
        <v>31.39419261</v>
      </c>
      <c r="N46" s="20">
        <f t="shared" ref="N46:O46" si="124">(($V$6-J46)/$V$6)*100</f>
        <v>87.50768649</v>
      </c>
      <c r="O46" s="20">
        <f t="shared" si="124"/>
        <v>65.48294783</v>
      </c>
      <c r="P46" s="14">
        <f t="shared" si="112"/>
        <v>76.49531716</v>
      </c>
      <c r="Q46" s="20">
        <f t="shared" si="73"/>
        <v>15.57384206</v>
      </c>
      <c r="R46" s="20">
        <f t="shared" ref="R46:S46" si="125">(($S$6-J46)/D46)*0.0244</f>
        <v>0.7023926176</v>
      </c>
      <c r="S46" s="20">
        <f t="shared" si="125"/>
        <v>-2.896422097</v>
      </c>
      <c r="T46" s="20">
        <f t="shared" si="75"/>
        <v>-1.09701474</v>
      </c>
      <c r="U46" s="20">
        <f t="shared" si="76"/>
        <v>2.544746289</v>
      </c>
    </row>
    <row r="47" ht="15.75" customHeight="1"/>
    <row r="48" ht="15.75" customHeight="1"/>
    <row r="49" ht="15.75" customHeight="1"/>
    <row r="50" ht="15.75" customHeight="1"/>
    <row r="51" ht="15.75" customHeight="1">
      <c r="C51" s="26" t="s">
        <v>191</v>
      </c>
      <c r="D51" s="27"/>
      <c r="E51" s="8"/>
      <c r="G51" s="28" t="s">
        <v>242</v>
      </c>
    </row>
    <row r="52" ht="15.75" customHeight="1"/>
    <row r="53" ht="15.75" customHeight="1">
      <c r="C53" s="15" t="s">
        <v>34</v>
      </c>
      <c r="D53" s="7" t="s">
        <v>5</v>
      </c>
      <c r="E53" s="8"/>
      <c r="F53" s="30" t="s">
        <v>6</v>
      </c>
      <c r="G53" s="8"/>
      <c r="H53" s="7" t="s">
        <v>36</v>
      </c>
      <c r="I53" s="8"/>
      <c r="J53" s="7" t="s">
        <v>37</v>
      </c>
      <c r="K53" s="8"/>
      <c r="L53" s="9" t="s">
        <v>7</v>
      </c>
      <c r="M53" s="9" t="s">
        <v>38</v>
      </c>
      <c r="N53" s="7" t="s">
        <v>9</v>
      </c>
      <c r="O53" s="8"/>
      <c r="P53" s="31" t="s">
        <v>10</v>
      </c>
      <c r="Q53" s="9" t="s">
        <v>38</v>
      </c>
      <c r="R53" s="7" t="s">
        <v>11</v>
      </c>
      <c r="S53" s="8"/>
      <c r="T53" s="9" t="s">
        <v>12</v>
      </c>
      <c r="U53" s="9" t="s">
        <v>38</v>
      </c>
    </row>
    <row r="54" ht="15.75" customHeight="1">
      <c r="C54" s="23"/>
      <c r="D54" s="9" t="s">
        <v>15</v>
      </c>
      <c r="E54" s="9" t="s">
        <v>16</v>
      </c>
      <c r="F54" s="32" t="s">
        <v>17</v>
      </c>
      <c r="G54" s="9" t="s">
        <v>18</v>
      </c>
      <c r="H54" s="9" t="s">
        <v>19</v>
      </c>
      <c r="I54" s="9" t="s">
        <v>20</v>
      </c>
      <c r="J54" s="9" t="s">
        <v>21</v>
      </c>
      <c r="K54" s="9" t="s">
        <v>22</v>
      </c>
      <c r="L54" s="9"/>
      <c r="M54" s="9"/>
      <c r="N54" s="9"/>
      <c r="O54" s="9"/>
      <c r="P54" s="31"/>
      <c r="Q54" s="9"/>
      <c r="R54" s="9">
        <v>1.0</v>
      </c>
      <c r="S54" s="9">
        <v>2.0</v>
      </c>
      <c r="T54" s="9"/>
      <c r="U54" s="9"/>
    </row>
    <row r="55" ht="15.75" customHeight="1">
      <c r="C55" s="23">
        <v>0.0</v>
      </c>
      <c r="D55" s="43">
        <v>0.304</v>
      </c>
      <c r="E55" s="9">
        <v>0.3008</v>
      </c>
      <c r="F55" s="32">
        <v>0.677</v>
      </c>
      <c r="G55" s="32">
        <v>0.677</v>
      </c>
      <c r="H55" s="11">
        <f t="shared" ref="H55:I55" si="126">F55*50</f>
        <v>33.85</v>
      </c>
      <c r="I55" s="11">
        <f t="shared" si="126"/>
        <v>33.85</v>
      </c>
      <c r="J55" s="20">
        <f t="shared" ref="J55:K55" si="127">(H55-0.0244)/0.1678</f>
        <v>201.5828367</v>
      </c>
      <c r="K55" s="20">
        <f t="shared" si="127"/>
        <v>201.5828367</v>
      </c>
      <c r="L55" s="20">
        <f t="shared" ref="L55:L68" si="132">(J55+K55)/2</f>
        <v>201.5828367</v>
      </c>
      <c r="M55" s="20">
        <f t="shared" ref="M55:M68" si="133">STDEV(J55:K55)</f>
        <v>0</v>
      </c>
      <c r="N55" s="20">
        <f t="shared" ref="N55:O55" si="128">(($V$6-J55)/$V$6)*100</f>
        <v>0</v>
      </c>
      <c r="O55" s="20">
        <f t="shared" si="128"/>
        <v>0</v>
      </c>
      <c r="P55" s="14">
        <f t="shared" ref="P55:P61" si="135">(N55+O55)/2</f>
        <v>0</v>
      </c>
      <c r="Q55" s="20">
        <f t="shared" ref="Q55:Q68" si="136">STDEV(N55:O55)</f>
        <v>0</v>
      </c>
      <c r="R55" s="20">
        <f t="shared" ref="R55:S55" si="129">(($S$6-J55)/D55)*0.0244</f>
        <v>-13.46276716</v>
      </c>
      <c r="S55" s="20">
        <f t="shared" si="129"/>
        <v>-13.60598808</v>
      </c>
      <c r="T55" s="20">
        <f t="shared" ref="T55:T68" si="138">(R55+S55)/2</f>
        <v>-13.53437762</v>
      </c>
      <c r="U55" s="20">
        <f t="shared" ref="U55:U68" si="139">STDEV(R55:S55)</f>
        <v>0.1012724888</v>
      </c>
    </row>
    <row r="56" ht="15.75" customHeight="1">
      <c r="C56" s="23">
        <v>1.0</v>
      </c>
      <c r="D56" s="43">
        <v>0.304</v>
      </c>
      <c r="E56" s="9">
        <v>0.3008</v>
      </c>
      <c r="F56" s="32">
        <v>0.693</v>
      </c>
      <c r="G56" s="9">
        <v>0.644</v>
      </c>
      <c r="H56" s="11">
        <f t="shared" ref="H56:I56" si="130">F56*50</f>
        <v>34.65</v>
      </c>
      <c r="I56" s="11">
        <f t="shared" si="130"/>
        <v>32.2</v>
      </c>
      <c r="J56" s="20">
        <f t="shared" ref="J56:K56" si="131">(H56-0.0244)/0.1678</f>
        <v>206.3504172</v>
      </c>
      <c r="K56" s="20">
        <f t="shared" si="131"/>
        <v>191.749702</v>
      </c>
      <c r="L56" s="20">
        <f t="shared" si="132"/>
        <v>199.0500596</v>
      </c>
      <c r="M56" s="20">
        <f t="shared" si="133"/>
        <v>10.32426468</v>
      </c>
      <c r="N56" s="20">
        <f t="shared" ref="N56:O56" si="134">(($V$6-J56)/$V$6)*100</f>
        <v>-2.365072608</v>
      </c>
      <c r="O56" s="20">
        <f t="shared" si="134"/>
        <v>4.877962253</v>
      </c>
      <c r="P56" s="14">
        <f t="shared" si="135"/>
        <v>1.256444823</v>
      </c>
      <c r="Q56" s="20">
        <f t="shared" si="136"/>
        <v>5.121599067</v>
      </c>
      <c r="R56" s="20">
        <f t="shared" ref="R56:S56" si="137">(($S$6-J56)/D56)*0.0244</f>
        <v>-13.84542822</v>
      </c>
      <c r="S56" s="20">
        <f t="shared" si="137"/>
        <v>-12.80835349</v>
      </c>
      <c r="T56" s="20">
        <f t="shared" si="138"/>
        <v>-13.32689085</v>
      </c>
      <c r="U56" s="20">
        <f t="shared" si="139"/>
        <v>0.7333225748</v>
      </c>
    </row>
    <row r="57" ht="15.75" customHeight="1">
      <c r="C57" s="23">
        <v>5.0</v>
      </c>
      <c r="D57" s="43">
        <v>0.304</v>
      </c>
      <c r="E57" s="9">
        <v>0.3008</v>
      </c>
      <c r="F57" s="32">
        <v>0.682</v>
      </c>
      <c r="G57" s="9">
        <v>0.664</v>
      </c>
      <c r="H57" s="11">
        <f t="shared" ref="H57:I57" si="140">F57*50</f>
        <v>34.1</v>
      </c>
      <c r="I57" s="11">
        <f t="shared" si="140"/>
        <v>33.2</v>
      </c>
      <c r="J57" s="20">
        <f t="shared" ref="J57:K57" si="141">(H57-0.0244)/0.1678</f>
        <v>203.0727056</v>
      </c>
      <c r="K57" s="20">
        <f t="shared" si="141"/>
        <v>197.7091776</v>
      </c>
      <c r="L57" s="20">
        <f t="shared" si="132"/>
        <v>200.3909416</v>
      </c>
      <c r="M57" s="20">
        <f t="shared" si="133"/>
        <v>3.792587027</v>
      </c>
      <c r="N57" s="20">
        <f t="shared" ref="N57:O57" si="142">(($V$6-J57)/$V$6)*100</f>
        <v>-0.7390851899</v>
      </c>
      <c r="O57" s="20">
        <f t="shared" si="142"/>
        <v>1.921621494</v>
      </c>
      <c r="P57" s="14">
        <f t="shared" si="135"/>
        <v>0.5912681519</v>
      </c>
      <c r="Q57" s="20">
        <f t="shared" si="136"/>
        <v>1.881403739</v>
      </c>
      <c r="R57" s="20">
        <f t="shared" ref="R57:S57" si="143">(($S$6-J57)/D57)*0.0244</f>
        <v>-13.58234874</v>
      </c>
      <c r="S57" s="20">
        <f t="shared" si="143"/>
        <v>-13.2917684</v>
      </c>
      <c r="T57" s="20">
        <f t="shared" si="138"/>
        <v>-13.43705857</v>
      </c>
      <c r="U57" s="20">
        <f t="shared" si="139"/>
        <v>0.2054713317</v>
      </c>
    </row>
    <row r="58" ht="15.75" customHeight="1">
      <c r="C58" s="23">
        <v>10.0</v>
      </c>
      <c r="D58" s="43">
        <v>0.304</v>
      </c>
      <c r="E58" s="9">
        <v>0.3008</v>
      </c>
      <c r="F58" s="44">
        <v>0.674</v>
      </c>
      <c r="G58" s="9">
        <v>0.629</v>
      </c>
      <c r="H58" s="11">
        <f t="shared" ref="H58:I58" si="144">F58*50</f>
        <v>33.7</v>
      </c>
      <c r="I58" s="11">
        <f t="shared" si="144"/>
        <v>31.45</v>
      </c>
      <c r="J58" s="20">
        <f t="shared" ref="J58:K58" si="145">(H58-0.0244)/0.1678</f>
        <v>200.6889154</v>
      </c>
      <c r="K58" s="20">
        <f t="shared" si="145"/>
        <v>187.2800954</v>
      </c>
      <c r="L58" s="20">
        <f t="shared" si="132"/>
        <v>193.9845054</v>
      </c>
      <c r="M58" s="20">
        <f t="shared" si="133"/>
        <v>9.481467567</v>
      </c>
      <c r="N58" s="20">
        <f t="shared" ref="N58:O58" si="146">(($V$6-J58)/$V$6)*100</f>
        <v>0.4434511139</v>
      </c>
      <c r="O58" s="20">
        <f t="shared" si="146"/>
        <v>7.095217823</v>
      </c>
      <c r="P58" s="14">
        <f t="shared" si="135"/>
        <v>3.769334469</v>
      </c>
      <c r="Q58" s="20">
        <f t="shared" si="136"/>
        <v>4.703509347</v>
      </c>
      <c r="R58" s="20">
        <f t="shared" ref="R58:S58" si="147">(($S$6-J58)/D58)*0.0244</f>
        <v>-13.39101821</v>
      </c>
      <c r="S58" s="20">
        <f t="shared" si="147"/>
        <v>-12.44579231</v>
      </c>
      <c r="T58" s="20">
        <f t="shared" si="138"/>
        <v>-12.91840526</v>
      </c>
      <c r="U58" s="20">
        <f t="shared" si="139"/>
        <v>0.6683756427</v>
      </c>
    </row>
    <row r="59" ht="15.75" customHeight="1">
      <c r="C59" s="23">
        <v>30.0</v>
      </c>
      <c r="D59" s="43">
        <v>0.304</v>
      </c>
      <c r="E59" s="9">
        <v>0.3008</v>
      </c>
      <c r="F59" s="44">
        <v>0.604</v>
      </c>
      <c r="G59" s="9">
        <v>0.617</v>
      </c>
      <c r="H59" s="11">
        <f t="shared" ref="H59:I59" si="148">F59*50</f>
        <v>30.2</v>
      </c>
      <c r="I59" s="11">
        <f t="shared" si="148"/>
        <v>30.85</v>
      </c>
      <c r="J59" s="20">
        <f t="shared" ref="J59:K59" si="149">(H59-0.0244)/0.1678</f>
        <v>179.8307509</v>
      </c>
      <c r="K59" s="20">
        <f t="shared" si="149"/>
        <v>183.70441</v>
      </c>
      <c r="L59" s="20">
        <f t="shared" si="132"/>
        <v>181.7675805</v>
      </c>
      <c r="M59" s="20">
        <f t="shared" si="133"/>
        <v>2.73909063</v>
      </c>
      <c r="N59" s="20">
        <f t="shared" ref="N59:O59" si="150">(($V$6-J59)/$V$6)*100</f>
        <v>10.79064377</v>
      </c>
      <c r="O59" s="20">
        <f t="shared" si="150"/>
        <v>8.869022279</v>
      </c>
      <c r="P59" s="14">
        <f t="shared" si="135"/>
        <v>9.829833026</v>
      </c>
      <c r="Q59" s="20">
        <f t="shared" si="136"/>
        <v>1.358791589</v>
      </c>
      <c r="R59" s="20">
        <f t="shared" ref="R59:S59" si="151">(($S$6-J59)/D59)*0.0244</f>
        <v>-11.71687606</v>
      </c>
      <c r="S59" s="20">
        <f t="shared" si="151"/>
        <v>-12.15574337</v>
      </c>
      <c r="T59" s="20">
        <f t="shared" si="138"/>
        <v>-11.93630971</v>
      </c>
      <c r="U59" s="20">
        <f t="shared" si="139"/>
        <v>0.3103260486</v>
      </c>
    </row>
    <row r="60" ht="15.75" customHeight="1">
      <c r="C60" s="23">
        <v>60.0</v>
      </c>
      <c r="D60" s="43">
        <v>0.304</v>
      </c>
      <c r="E60" s="9">
        <v>0.3008</v>
      </c>
      <c r="F60" s="44">
        <v>0.55</v>
      </c>
      <c r="G60" s="20">
        <v>0.562</v>
      </c>
      <c r="H60" s="11">
        <f t="shared" ref="H60:I60" si="152">F60*50</f>
        <v>27.5</v>
      </c>
      <c r="I60" s="11">
        <f t="shared" si="152"/>
        <v>28.1</v>
      </c>
      <c r="J60" s="20">
        <f t="shared" ref="J60:K60" si="153">(H60-0.0244)/0.1678</f>
        <v>163.7401669</v>
      </c>
      <c r="K60" s="20">
        <f t="shared" si="153"/>
        <v>167.3158522</v>
      </c>
      <c r="L60" s="20">
        <f t="shared" si="132"/>
        <v>165.5280095</v>
      </c>
      <c r="M60" s="20">
        <f t="shared" si="133"/>
        <v>2.528391351</v>
      </c>
      <c r="N60" s="20">
        <f t="shared" ref="N60:O60" si="154">(($V$6-J60)/$V$6)*100</f>
        <v>18.77276382</v>
      </c>
      <c r="O60" s="20">
        <f t="shared" si="154"/>
        <v>16.99895937</v>
      </c>
      <c r="P60" s="14">
        <f t="shared" si="135"/>
        <v>17.8858616</v>
      </c>
      <c r="Q60" s="20">
        <f t="shared" si="136"/>
        <v>1.254269159</v>
      </c>
      <c r="R60" s="20">
        <f t="shared" ref="R60:S60" si="155">(($S$6-J60)/D60)*0.0244</f>
        <v>-10.42539497</v>
      </c>
      <c r="S60" s="20">
        <f t="shared" si="155"/>
        <v>-10.82635237</v>
      </c>
      <c r="T60" s="20">
        <f t="shared" si="138"/>
        <v>-10.62587367</v>
      </c>
      <c r="U60" s="20">
        <f t="shared" si="139"/>
        <v>0.2835196972</v>
      </c>
    </row>
    <row r="61" ht="15.75" customHeight="1">
      <c r="C61" s="23">
        <v>90.0</v>
      </c>
      <c r="D61" s="43">
        <v>0.304</v>
      </c>
      <c r="E61" s="9">
        <v>0.3008</v>
      </c>
      <c r="F61" s="9">
        <v>0.465</v>
      </c>
      <c r="G61" s="9">
        <v>0.492</v>
      </c>
      <c r="H61" s="11">
        <f t="shared" ref="H61:I61" si="156">F61*50</f>
        <v>23.25</v>
      </c>
      <c r="I61" s="11">
        <f t="shared" si="156"/>
        <v>24.6</v>
      </c>
      <c r="J61" s="20">
        <f t="shared" ref="J61:K61" si="157">(H61-0.0244)/0.1678</f>
        <v>138.4123957</v>
      </c>
      <c r="K61" s="20">
        <f t="shared" si="157"/>
        <v>146.4576877</v>
      </c>
      <c r="L61" s="20">
        <f t="shared" si="132"/>
        <v>142.4350417</v>
      </c>
      <c r="M61" s="20">
        <f t="shared" si="133"/>
        <v>5.68888054</v>
      </c>
      <c r="N61" s="20">
        <f t="shared" ref="N61:O61" si="158">(($V$6-J61)/$V$6)*100</f>
        <v>31.33721205</v>
      </c>
      <c r="O61" s="20">
        <f t="shared" si="158"/>
        <v>27.34615203</v>
      </c>
      <c r="P61" s="14">
        <f t="shared" si="135"/>
        <v>29.34168204</v>
      </c>
      <c r="Q61" s="20">
        <f t="shared" si="136"/>
        <v>2.822105608</v>
      </c>
      <c r="R61" s="20">
        <f t="shared" ref="R61:S61" si="159">(($S$6-J61)/D61)*0.0244</f>
        <v>-8.392508077</v>
      </c>
      <c r="S61" s="20">
        <f t="shared" si="159"/>
        <v>-9.134400201</v>
      </c>
      <c r="T61" s="20">
        <f t="shared" si="138"/>
        <v>-8.763454139</v>
      </c>
      <c r="U61" s="20">
        <f t="shared" si="139"/>
        <v>0.524596952</v>
      </c>
    </row>
    <row r="62" ht="15.75" customHeight="1">
      <c r="C62" s="23">
        <v>120.0</v>
      </c>
      <c r="D62" s="43">
        <v>0.304</v>
      </c>
      <c r="E62" s="9">
        <v>0.3008</v>
      </c>
      <c r="F62" s="9">
        <v>0.321</v>
      </c>
      <c r="G62" s="9">
        <v>0.326</v>
      </c>
      <c r="H62" s="11">
        <f t="shared" ref="H62:I62" si="160">F62*50</f>
        <v>16.05</v>
      </c>
      <c r="I62" s="11">
        <f t="shared" si="160"/>
        <v>16.3</v>
      </c>
      <c r="J62" s="20">
        <f t="shared" ref="J62:K62" si="161">(H62-0.0244)/0.1678</f>
        <v>95.50417163</v>
      </c>
      <c r="K62" s="20">
        <f t="shared" si="161"/>
        <v>96.99404052</v>
      </c>
      <c r="L62" s="20">
        <f t="shared" si="132"/>
        <v>96.24910608</v>
      </c>
      <c r="M62" s="20">
        <f t="shared" si="133"/>
        <v>1.053496396</v>
      </c>
      <c r="N62" s="20">
        <f t="shared" ref="N62:O62" si="162">(($V$6-J62)/$V$6)*100</f>
        <v>52.62286552</v>
      </c>
      <c r="O62" s="20">
        <f t="shared" si="162"/>
        <v>51.88378033</v>
      </c>
      <c r="P62" s="14">
        <v>44.0</v>
      </c>
      <c r="Q62" s="20">
        <f t="shared" si="136"/>
        <v>0.5226121497</v>
      </c>
      <c r="R62" s="20">
        <f t="shared" ref="R62:S62" si="163">(($S$6-J62)/D62)*0.0244</f>
        <v>-4.948558513</v>
      </c>
      <c r="S62" s="20">
        <f t="shared" si="163"/>
        <v>-5.122056479</v>
      </c>
      <c r="T62" s="20">
        <f t="shared" si="138"/>
        <v>-5.035307496</v>
      </c>
      <c r="U62" s="20">
        <f t="shared" si="139"/>
        <v>0.1226815883</v>
      </c>
    </row>
    <row r="63" ht="15.75" customHeight="1">
      <c r="C63" s="23">
        <v>180.0</v>
      </c>
      <c r="D63" s="43">
        <v>0.304</v>
      </c>
      <c r="E63" s="9">
        <v>0.3008</v>
      </c>
      <c r="F63" s="9">
        <v>0.375</v>
      </c>
      <c r="G63" s="20">
        <v>0.38</v>
      </c>
      <c r="H63" s="11">
        <f t="shared" ref="H63:I63" si="164">F63*50</f>
        <v>18.75</v>
      </c>
      <c r="I63" s="11">
        <f t="shared" si="164"/>
        <v>19</v>
      </c>
      <c r="J63" s="20">
        <f t="shared" ref="J63:K63" si="165">(H63-0.0244)/0.1678</f>
        <v>111.5947557</v>
      </c>
      <c r="K63" s="20">
        <f t="shared" si="165"/>
        <v>113.0846246</v>
      </c>
      <c r="L63" s="20">
        <f t="shared" si="132"/>
        <v>112.3396901</v>
      </c>
      <c r="M63" s="20">
        <f t="shared" si="133"/>
        <v>1.053496396</v>
      </c>
      <c r="N63" s="20">
        <f t="shared" ref="N63:O63" si="166">(($V$6-J63)/$V$6)*100</f>
        <v>44.64074547</v>
      </c>
      <c r="O63" s="20">
        <f t="shared" si="166"/>
        <v>43.90166028</v>
      </c>
      <c r="P63" s="14">
        <v>52.0</v>
      </c>
      <c r="Q63" s="20">
        <f t="shared" si="136"/>
        <v>0.5226121497</v>
      </c>
      <c r="R63" s="20">
        <f t="shared" ref="R63:S63" si="167">(($S$6-J63)/D63)*0.0244</f>
        <v>-6.240039599</v>
      </c>
      <c r="S63" s="20">
        <f t="shared" si="167"/>
        <v>-6.427276726</v>
      </c>
      <c r="T63" s="20">
        <f t="shared" si="138"/>
        <v>-6.333658162</v>
      </c>
      <c r="U63" s="20">
        <f t="shared" si="139"/>
        <v>0.1323966419</v>
      </c>
    </row>
    <row r="64" ht="15.75" customHeight="1">
      <c r="C64" s="23">
        <v>240.0</v>
      </c>
      <c r="D64" s="43">
        <v>0.304</v>
      </c>
      <c r="E64" s="9">
        <v>0.3008</v>
      </c>
      <c r="F64" s="9">
        <v>0.263</v>
      </c>
      <c r="G64" s="20">
        <v>0.33</v>
      </c>
      <c r="H64" s="11">
        <f t="shared" ref="H64:I64" si="168">F64*50</f>
        <v>13.15</v>
      </c>
      <c r="I64" s="11">
        <f t="shared" si="168"/>
        <v>16.5</v>
      </c>
      <c r="J64" s="20">
        <f t="shared" ref="J64:K64" si="169">(H64-0.0244)/0.1678</f>
        <v>78.22169249</v>
      </c>
      <c r="K64" s="20">
        <f t="shared" si="169"/>
        <v>98.18593564</v>
      </c>
      <c r="L64" s="20">
        <f t="shared" si="132"/>
        <v>88.20381406</v>
      </c>
      <c r="M64" s="20">
        <f t="shared" si="133"/>
        <v>14.11685171</v>
      </c>
      <c r="N64" s="20">
        <f t="shared" ref="N64:O64" si="170">(($V$6-J64)/$V$6)*100</f>
        <v>61.19625372</v>
      </c>
      <c r="O64" s="20">
        <f t="shared" si="170"/>
        <v>51.29251218</v>
      </c>
      <c r="P64" s="14">
        <f t="shared" ref="P64:P68" si="175">(N64+O64)/2</f>
        <v>56.24438295</v>
      </c>
      <c r="Q64" s="20">
        <f t="shared" si="136"/>
        <v>7.003002805</v>
      </c>
      <c r="R64" s="20">
        <f t="shared" ref="R64:S64" si="171">(($S$6-J64)/D64)*0.0244</f>
        <v>-3.56141216</v>
      </c>
      <c r="S64" s="20">
        <f t="shared" si="171"/>
        <v>-5.21873946</v>
      </c>
      <c r="T64" s="20">
        <f t="shared" si="138"/>
        <v>-4.39007581</v>
      </c>
      <c r="U64" s="20">
        <f t="shared" si="139"/>
        <v>1.171907372</v>
      </c>
    </row>
    <row r="65" ht="15.75" customHeight="1">
      <c r="C65" s="23">
        <v>300.0</v>
      </c>
      <c r="D65" s="43">
        <v>0.304</v>
      </c>
      <c r="E65" s="9">
        <v>0.3008</v>
      </c>
      <c r="F65" s="9">
        <v>0.213</v>
      </c>
      <c r="G65" s="9">
        <v>0.296</v>
      </c>
      <c r="H65" s="11">
        <f t="shared" ref="H65:I65" si="172">F65*50</f>
        <v>10.65</v>
      </c>
      <c r="I65" s="11">
        <f t="shared" si="172"/>
        <v>14.8</v>
      </c>
      <c r="J65" s="20">
        <f t="shared" ref="J65:K65" si="173">(H65-0.0244)/0.1678</f>
        <v>63.32300358</v>
      </c>
      <c r="K65" s="20">
        <f t="shared" si="173"/>
        <v>88.05482718</v>
      </c>
      <c r="L65" s="20">
        <f t="shared" si="132"/>
        <v>75.68891538</v>
      </c>
      <c r="M65" s="20">
        <f t="shared" si="133"/>
        <v>17.48804018</v>
      </c>
      <c r="N65" s="20">
        <f t="shared" ref="N65:O65" si="174">(($V$6-J65)/$V$6)*100</f>
        <v>68.58710562</v>
      </c>
      <c r="O65" s="20">
        <f t="shared" si="174"/>
        <v>56.31829147</v>
      </c>
      <c r="P65" s="14">
        <f t="shared" si="175"/>
        <v>62.45269855</v>
      </c>
      <c r="Q65" s="20">
        <f t="shared" si="136"/>
        <v>8.675361684</v>
      </c>
      <c r="R65" s="20">
        <f t="shared" ref="R65:S65" si="176">(($S$6-J65)/D65)*0.0244</f>
        <v>-2.36559634</v>
      </c>
      <c r="S65" s="20">
        <f t="shared" si="176"/>
        <v>-4.396934119</v>
      </c>
      <c r="T65" s="20">
        <f t="shared" si="138"/>
        <v>-3.381265229</v>
      </c>
      <c r="U65" s="20">
        <f t="shared" si="139"/>
        <v>1.436372719</v>
      </c>
    </row>
    <row r="66" ht="15.75" customHeight="1">
      <c r="C66" s="23">
        <v>360.0</v>
      </c>
      <c r="D66" s="43">
        <v>0.304</v>
      </c>
      <c r="E66" s="9">
        <v>0.3008</v>
      </c>
      <c r="F66" s="9">
        <v>0.201</v>
      </c>
      <c r="G66" s="9">
        <v>0.266</v>
      </c>
      <c r="H66" s="11">
        <f t="shared" ref="H66:I66" si="177">F66*50</f>
        <v>10.05</v>
      </c>
      <c r="I66" s="11">
        <f t="shared" si="177"/>
        <v>13.3</v>
      </c>
      <c r="J66" s="20">
        <f t="shared" ref="J66:K66" si="178">(H66-0.0244)/0.1678</f>
        <v>59.74731824</v>
      </c>
      <c r="K66" s="20">
        <f t="shared" si="178"/>
        <v>79.11561383</v>
      </c>
      <c r="L66" s="20">
        <f t="shared" si="132"/>
        <v>69.43146603</v>
      </c>
      <c r="M66" s="20">
        <f t="shared" si="133"/>
        <v>13.69545315</v>
      </c>
      <c r="N66" s="20">
        <f t="shared" ref="N66:O66" si="179">(($V$6-J66)/$V$6)*100</f>
        <v>70.36091008</v>
      </c>
      <c r="O66" s="20">
        <f t="shared" si="179"/>
        <v>60.75280261</v>
      </c>
      <c r="P66" s="14">
        <f t="shared" si="175"/>
        <v>65.55685635</v>
      </c>
      <c r="Q66" s="20">
        <f t="shared" si="136"/>
        <v>6.793957946</v>
      </c>
      <c r="R66" s="20">
        <f t="shared" ref="R66:S66" si="180">(($S$6-J66)/D66)*0.0244</f>
        <v>-2.078600543</v>
      </c>
      <c r="S66" s="20">
        <f t="shared" si="180"/>
        <v>-3.67181176</v>
      </c>
      <c r="T66" s="20">
        <f t="shared" si="138"/>
        <v>-2.875206151</v>
      </c>
      <c r="U66" s="20">
        <f t="shared" si="139"/>
        <v>1.126570456</v>
      </c>
    </row>
    <row r="67" ht="15.75" customHeight="1">
      <c r="C67" s="23">
        <v>480.0</v>
      </c>
      <c r="D67" s="43">
        <v>0.304</v>
      </c>
      <c r="E67" s="9">
        <v>0.3008</v>
      </c>
      <c r="F67" s="9">
        <v>0.19</v>
      </c>
      <c r="G67" s="9">
        <v>0.247</v>
      </c>
      <c r="H67" s="11">
        <f t="shared" ref="H67:I67" si="181">F67*50</f>
        <v>9.5</v>
      </c>
      <c r="I67" s="11">
        <f t="shared" si="181"/>
        <v>12.35</v>
      </c>
      <c r="J67" s="20">
        <f t="shared" ref="J67:K67" si="182">(H67-0.0244)/0.1678</f>
        <v>56.46960667</v>
      </c>
      <c r="K67" s="20">
        <f t="shared" si="182"/>
        <v>73.45411204</v>
      </c>
      <c r="L67" s="20">
        <f t="shared" si="132"/>
        <v>64.96185936</v>
      </c>
      <c r="M67" s="20">
        <f t="shared" si="133"/>
        <v>12.00985892</v>
      </c>
      <c r="N67" s="20">
        <f t="shared" ref="N67:O67" si="183">(($V$6-J67)/$V$6)*100</f>
        <v>71.9868975</v>
      </c>
      <c r="O67" s="20">
        <f t="shared" si="183"/>
        <v>63.56132633</v>
      </c>
      <c r="P67" s="14">
        <f t="shared" si="175"/>
        <v>67.77411192</v>
      </c>
      <c r="Q67" s="20">
        <f t="shared" si="136"/>
        <v>5.957778506</v>
      </c>
      <c r="R67" s="20">
        <f t="shared" ref="R67:S67" si="184">(($S$6-J67)/D67)*0.0244</f>
        <v>-1.815521062</v>
      </c>
      <c r="S67" s="20">
        <f t="shared" si="184"/>
        <v>-3.212567599</v>
      </c>
      <c r="T67" s="20">
        <f t="shared" si="138"/>
        <v>-2.51404433</v>
      </c>
      <c r="U67" s="20">
        <f t="shared" si="139"/>
        <v>0.9878610798</v>
      </c>
    </row>
    <row r="68" ht="15.75" customHeight="1">
      <c r="C68" s="53">
        <v>1440.0</v>
      </c>
      <c r="D68" s="237">
        <v>0.304</v>
      </c>
      <c r="E68" s="57">
        <v>0.3008</v>
      </c>
      <c r="F68" s="57">
        <v>0.108</v>
      </c>
      <c r="G68" s="59">
        <v>0.158</v>
      </c>
      <c r="H68" s="58">
        <f t="shared" ref="H68:I68" si="185">F68*50</f>
        <v>5.4</v>
      </c>
      <c r="I68" s="58">
        <f t="shared" si="185"/>
        <v>7.9</v>
      </c>
      <c r="J68" s="59">
        <f t="shared" ref="J68:K68" si="186">(H68-0.0244)/0.1678</f>
        <v>32.03575685</v>
      </c>
      <c r="K68" s="59">
        <f t="shared" si="186"/>
        <v>46.93444577</v>
      </c>
      <c r="L68" s="59">
        <f t="shared" si="132"/>
        <v>39.48510131</v>
      </c>
      <c r="M68" s="59">
        <f t="shared" si="133"/>
        <v>10.53496396</v>
      </c>
      <c r="N68" s="59">
        <f t="shared" ref="N68:O68" si="187">(($V$6-J68)/$V$6)*100</f>
        <v>84.10789461</v>
      </c>
      <c r="O68" s="59">
        <f t="shared" si="187"/>
        <v>76.71704271</v>
      </c>
      <c r="P68" s="55">
        <f t="shared" si="175"/>
        <v>80.41246866</v>
      </c>
      <c r="Q68" s="20">
        <f t="shared" si="136"/>
        <v>5.226121497</v>
      </c>
      <c r="R68" s="20">
        <f t="shared" ref="R68:S68" si="188">(($S$6-J68)/D68)*0.0244</f>
        <v>0.1456168841</v>
      </c>
      <c r="S68" s="20">
        <f t="shared" si="188"/>
        <v>-1.061371266</v>
      </c>
      <c r="T68" s="20">
        <f t="shared" si="138"/>
        <v>-0.4578771908</v>
      </c>
      <c r="U68" s="20">
        <f t="shared" si="139"/>
        <v>0.8534695056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N9:O9"/>
    <mergeCell ref="R9:S9"/>
    <mergeCell ref="D5:E5"/>
    <mergeCell ref="S5:T5"/>
    <mergeCell ref="N6:O6"/>
    <mergeCell ref="S6:T6"/>
    <mergeCell ref="C7:E7"/>
    <mergeCell ref="D9:E9"/>
    <mergeCell ref="F9:G9"/>
    <mergeCell ref="N31:O31"/>
    <mergeCell ref="R31:S31"/>
    <mergeCell ref="C51:E51"/>
    <mergeCell ref="D53:E53"/>
    <mergeCell ref="F53:G53"/>
    <mergeCell ref="H53:I53"/>
    <mergeCell ref="J53:K53"/>
    <mergeCell ref="N53:O53"/>
    <mergeCell ref="R53:S53"/>
    <mergeCell ref="H9:I9"/>
    <mergeCell ref="J9:K9"/>
    <mergeCell ref="C29:E29"/>
    <mergeCell ref="D31:E31"/>
    <mergeCell ref="F31:G31"/>
    <mergeCell ref="H31:I31"/>
    <mergeCell ref="J31:K3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11.29"/>
    <col customWidth="1" min="4" max="4" width="12.14"/>
    <col customWidth="1" min="5" max="10" width="8.71"/>
    <col customWidth="1" min="11" max="11" width="10.57"/>
    <col customWidth="1" min="12" max="19" width="8.71"/>
    <col customWidth="1" min="20" max="20" width="12.14"/>
    <col customWidth="1" min="21" max="29" width="8.71"/>
  </cols>
  <sheetData>
    <row r="3">
      <c r="N3" s="15"/>
      <c r="O3" s="16" t="s">
        <v>0</v>
      </c>
      <c r="P3" s="17" t="s">
        <v>25</v>
      </c>
      <c r="Q3" s="8"/>
      <c r="R3" s="18" t="s">
        <v>26</v>
      </c>
      <c r="S3" s="18" t="s">
        <v>27</v>
      </c>
    </row>
    <row r="4">
      <c r="N4" s="15" t="s">
        <v>225</v>
      </c>
      <c r="O4" s="23">
        <v>0.677</v>
      </c>
      <c r="P4" s="24">
        <f>O4*50</f>
        <v>33.85</v>
      </c>
      <c r="Q4" s="8"/>
      <c r="R4" s="15">
        <v>200.0</v>
      </c>
      <c r="S4" s="157">
        <f>(P4-0.0244)/0.1678</f>
        <v>201.5828367</v>
      </c>
    </row>
    <row r="6" ht="15.75" customHeight="1">
      <c r="C6" s="12" t="s">
        <v>194</v>
      </c>
      <c r="D6" s="8"/>
      <c r="E6" s="13">
        <f>100*3</f>
        <v>300</v>
      </c>
    </row>
    <row r="7">
      <c r="M7" s="22" t="s">
        <v>28</v>
      </c>
      <c r="N7" s="8"/>
    </row>
    <row r="8">
      <c r="B8" s="26" t="s">
        <v>195</v>
      </c>
      <c r="C8" s="27"/>
      <c r="D8" s="8"/>
      <c r="F8" s="28" t="s">
        <v>59</v>
      </c>
      <c r="M8" s="5"/>
      <c r="N8" s="5"/>
      <c r="Q8" s="5"/>
      <c r="R8" s="6"/>
    </row>
    <row r="9">
      <c r="M9" s="5"/>
      <c r="N9" s="5"/>
      <c r="Q9" s="5"/>
      <c r="R9" s="6"/>
    </row>
    <row r="10">
      <c r="B10" s="15" t="s">
        <v>34</v>
      </c>
      <c r="C10" s="7" t="s">
        <v>5</v>
      </c>
      <c r="D10" s="8"/>
      <c r="E10" s="30" t="s">
        <v>6</v>
      </c>
      <c r="F10" s="8"/>
      <c r="G10" s="7" t="s">
        <v>36</v>
      </c>
      <c r="H10" s="8"/>
      <c r="I10" s="7" t="s">
        <v>37</v>
      </c>
      <c r="J10" s="8"/>
      <c r="K10" s="9" t="s">
        <v>7</v>
      </c>
      <c r="L10" s="9" t="s">
        <v>38</v>
      </c>
      <c r="M10" s="7" t="s">
        <v>9</v>
      </c>
      <c r="N10" s="8"/>
      <c r="O10" s="31" t="s">
        <v>10</v>
      </c>
      <c r="P10" s="9" t="s">
        <v>38</v>
      </c>
      <c r="Q10" s="7" t="s">
        <v>11</v>
      </c>
      <c r="R10" s="8"/>
      <c r="S10" s="9" t="s">
        <v>12</v>
      </c>
      <c r="T10" s="9" t="s">
        <v>38</v>
      </c>
    </row>
    <row r="11">
      <c r="B11" s="23"/>
      <c r="C11" s="9" t="s">
        <v>15</v>
      </c>
      <c r="D11" s="9" t="s">
        <v>16</v>
      </c>
      <c r="E11" s="32" t="s">
        <v>17</v>
      </c>
      <c r="F11" s="9" t="s">
        <v>18</v>
      </c>
      <c r="G11" s="9" t="s">
        <v>19</v>
      </c>
      <c r="H11" s="9" t="s">
        <v>20</v>
      </c>
      <c r="I11" s="9" t="s">
        <v>21</v>
      </c>
      <c r="J11" s="9" t="s">
        <v>22</v>
      </c>
      <c r="K11" s="9"/>
      <c r="L11" s="9"/>
      <c r="M11" s="9"/>
      <c r="N11" s="9"/>
      <c r="O11" s="31"/>
      <c r="P11" s="9"/>
      <c r="Q11" s="9">
        <v>1.0</v>
      </c>
      <c r="R11" s="9">
        <v>2.0</v>
      </c>
      <c r="S11" s="9"/>
      <c r="T11" s="9"/>
    </row>
    <row r="12">
      <c r="B12" s="23">
        <v>0.0</v>
      </c>
      <c r="C12" s="9">
        <v>0.3003</v>
      </c>
      <c r="D12" s="9">
        <v>0.3011</v>
      </c>
      <c r="E12" s="32">
        <v>0.677</v>
      </c>
      <c r="F12" s="32">
        <v>0.677</v>
      </c>
      <c r="G12" s="11">
        <f t="shared" ref="G12:H12" si="1">E12*50</f>
        <v>33.85</v>
      </c>
      <c r="H12" s="11">
        <f t="shared" si="1"/>
        <v>33.85</v>
      </c>
      <c r="I12" s="20">
        <f t="shared" ref="I12:J12" si="2">(G12-0.0244)/0.1678</f>
        <v>201.5828367</v>
      </c>
      <c r="J12" s="20">
        <f t="shared" si="2"/>
        <v>201.5828367</v>
      </c>
      <c r="K12" s="20">
        <f t="shared" ref="K12:K25" si="7">(I12+J12)/2</f>
        <v>201.5828367</v>
      </c>
      <c r="L12" s="20">
        <f t="shared" ref="L12:L25" si="8">STDEV(I12:J12)</f>
        <v>0</v>
      </c>
      <c r="M12" s="20">
        <f t="shared" ref="M12:N12" si="3">(($S$4-I12)/$S$4)*100</f>
        <v>0</v>
      </c>
      <c r="N12" s="20">
        <f t="shared" si="3"/>
        <v>0</v>
      </c>
      <c r="O12" s="14">
        <f t="shared" ref="O12:O25" si="10">(M12+N12)/2</f>
        <v>0</v>
      </c>
      <c r="P12" s="20">
        <f t="shared" ref="P12:P25" si="11">STDEV(M12:N12)</f>
        <v>0</v>
      </c>
      <c r="Q12" s="20">
        <f t="shared" ref="Q12:R12" si="4">(($Q$3-I12)/C12)*0.0244</f>
        <v>-16.37902503</v>
      </c>
      <c r="R12" s="20">
        <f t="shared" si="4"/>
        <v>-16.33550719</v>
      </c>
      <c r="S12" s="20">
        <f t="shared" ref="S12:S25" si="13">(Q12+R12)/2</f>
        <v>-16.35726611</v>
      </c>
      <c r="T12" s="20">
        <f t="shared" ref="T12:T25" si="14">STDEV(Q12:R12)</f>
        <v>0.030771756</v>
      </c>
    </row>
    <row r="13">
      <c r="B13" s="23">
        <v>1.0</v>
      </c>
      <c r="C13" s="9">
        <v>0.3003</v>
      </c>
      <c r="D13" s="9">
        <v>0.3011</v>
      </c>
      <c r="E13" s="44">
        <v>0.617</v>
      </c>
      <c r="F13" s="44">
        <v>0.682</v>
      </c>
      <c r="G13" s="11">
        <f t="shared" ref="G13:H13" si="5">E13*50</f>
        <v>30.85</v>
      </c>
      <c r="H13" s="11">
        <f t="shared" si="5"/>
        <v>34.1</v>
      </c>
      <c r="I13" s="20">
        <f t="shared" ref="I13:J13" si="6">(G13-0.0244)/0.1678</f>
        <v>183.70441</v>
      </c>
      <c r="J13" s="20">
        <f t="shared" si="6"/>
        <v>203.0727056</v>
      </c>
      <c r="K13" s="20">
        <f t="shared" si="7"/>
        <v>193.3885578</v>
      </c>
      <c r="L13" s="20">
        <f t="shared" si="8"/>
        <v>13.69545315</v>
      </c>
      <c r="M13" s="20">
        <f t="shared" ref="M13:N13" si="9">(($S$4-I13)/$S$4)*100</f>
        <v>8.869022279</v>
      </c>
      <c r="N13" s="20">
        <f t="shared" si="9"/>
        <v>-0.7390851899</v>
      </c>
      <c r="O13" s="14">
        <f t="shared" si="10"/>
        <v>4.064968545</v>
      </c>
      <c r="P13" s="20">
        <f t="shared" si="11"/>
        <v>6.793957946</v>
      </c>
      <c r="Q13" s="20">
        <f t="shared" ref="Q13:R13" si="12">(($Q$3-I13)/C13)*0.0244</f>
        <v>-14.92636565</v>
      </c>
      <c r="R13" s="20">
        <f t="shared" si="12"/>
        <v>-16.45624051</v>
      </c>
      <c r="S13" s="20">
        <f t="shared" si="13"/>
        <v>-15.69130308</v>
      </c>
      <c r="T13" s="20">
        <f t="shared" si="14"/>
        <v>1.081784887</v>
      </c>
    </row>
    <row r="14">
      <c r="B14" s="23">
        <v>5.0</v>
      </c>
      <c r="C14" s="9">
        <v>0.3003</v>
      </c>
      <c r="D14" s="9">
        <v>0.3011</v>
      </c>
      <c r="E14" s="32">
        <v>0.537</v>
      </c>
      <c r="F14" s="9">
        <v>0.488</v>
      </c>
      <c r="G14" s="11">
        <f t="shared" ref="G14:H14" si="15">E14*50</f>
        <v>26.85</v>
      </c>
      <c r="H14" s="11">
        <f t="shared" si="15"/>
        <v>24.4</v>
      </c>
      <c r="I14" s="20">
        <f t="shared" ref="I14:J14" si="16">(G14-0.0244)/0.1678</f>
        <v>159.8665077</v>
      </c>
      <c r="J14" s="20">
        <f t="shared" si="16"/>
        <v>145.2657926</v>
      </c>
      <c r="K14" s="20">
        <f t="shared" si="7"/>
        <v>152.5661502</v>
      </c>
      <c r="L14" s="20">
        <f t="shared" si="8"/>
        <v>10.32426468</v>
      </c>
      <c r="M14" s="20">
        <f t="shared" ref="M14:N14" si="17">(($S$4-I14)/$S$4)*100</f>
        <v>20.69438532</v>
      </c>
      <c r="N14" s="20">
        <f t="shared" si="17"/>
        <v>27.93742018</v>
      </c>
      <c r="O14" s="14">
        <f t="shared" si="10"/>
        <v>24.31590275</v>
      </c>
      <c r="P14" s="20">
        <f t="shared" si="11"/>
        <v>5.121599067</v>
      </c>
      <c r="Q14" s="20">
        <f t="shared" ref="Q14:R14" si="18">(($Q$3-I14)/C14)*0.0244</f>
        <v>-12.98948648</v>
      </c>
      <c r="R14" s="20">
        <f t="shared" si="18"/>
        <v>-11.77178791</v>
      </c>
      <c r="S14" s="20">
        <f t="shared" si="13"/>
        <v>-12.38063719</v>
      </c>
      <c r="T14" s="20">
        <f t="shared" si="14"/>
        <v>0.8610429142</v>
      </c>
    </row>
    <row r="15">
      <c r="B15" s="23">
        <v>10.0</v>
      </c>
      <c r="C15" s="9">
        <v>0.3003</v>
      </c>
      <c r="D15" s="9">
        <v>0.3011</v>
      </c>
      <c r="E15" s="44">
        <v>0.471</v>
      </c>
      <c r="F15" s="9">
        <v>0.39</v>
      </c>
      <c r="G15" s="11">
        <f t="shared" ref="G15:H15" si="19">E15*50</f>
        <v>23.55</v>
      </c>
      <c r="H15" s="11">
        <f t="shared" si="19"/>
        <v>19.5</v>
      </c>
      <c r="I15" s="20">
        <f t="shared" ref="I15:J15" si="20">(G15-0.0244)/0.1678</f>
        <v>140.2002384</v>
      </c>
      <c r="J15" s="20">
        <f t="shared" si="20"/>
        <v>116.0643623</v>
      </c>
      <c r="K15" s="20">
        <f t="shared" si="7"/>
        <v>128.1323004</v>
      </c>
      <c r="L15" s="20">
        <f t="shared" si="8"/>
        <v>17.06664162</v>
      </c>
      <c r="M15" s="20">
        <f t="shared" ref="M15:N15" si="21">(($S$4-I15)/$S$4)*100</f>
        <v>30.45030982</v>
      </c>
      <c r="N15" s="20">
        <f t="shared" si="21"/>
        <v>42.4234899</v>
      </c>
      <c r="O15" s="14">
        <f t="shared" si="10"/>
        <v>36.43689986</v>
      </c>
      <c r="P15" s="20">
        <f t="shared" si="11"/>
        <v>8.466316825</v>
      </c>
      <c r="Q15" s="20">
        <f t="shared" ref="Q15:R15" si="22">(($Q$3-I15)/C15)*0.0244</f>
        <v>-11.39156116</v>
      </c>
      <c r="R15" s="20">
        <f t="shared" si="22"/>
        <v>-9.405414949</v>
      </c>
      <c r="S15" s="20">
        <f t="shared" si="13"/>
        <v>-10.39848805</v>
      </c>
      <c r="T15" s="20">
        <f t="shared" si="14"/>
        <v>1.404417455</v>
      </c>
    </row>
    <row r="16">
      <c r="B16" s="23">
        <v>30.0</v>
      </c>
      <c r="C16" s="9">
        <v>0.3003</v>
      </c>
      <c r="D16" s="9">
        <v>0.3011</v>
      </c>
      <c r="E16" s="44">
        <v>0.347</v>
      </c>
      <c r="F16" s="9">
        <v>0.156</v>
      </c>
      <c r="G16" s="11">
        <f t="shared" ref="G16:H16" si="23">E16*50</f>
        <v>17.35</v>
      </c>
      <c r="H16" s="11">
        <f t="shared" si="23"/>
        <v>7.8</v>
      </c>
      <c r="I16" s="20">
        <f t="shared" ref="I16:J16" si="24">(G16-0.0244)/0.1678</f>
        <v>103.2514899</v>
      </c>
      <c r="J16" s="20">
        <f t="shared" si="24"/>
        <v>46.33849821</v>
      </c>
      <c r="K16" s="20">
        <f t="shared" si="7"/>
        <v>74.79499404</v>
      </c>
      <c r="L16" s="20">
        <f t="shared" si="8"/>
        <v>40.24356234</v>
      </c>
      <c r="M16" s="20">
        <f t="shared" ref="M16:N16" si="25">(($S$4-I16)/$S$4)*100</f>
        <v>48.77962253</v>
      </c>
      <c r="N16" s="20">
        <f t="shared" si="25"/>
        <v>77.01267679</v>
      </c>
      <c r="O16" s="14">
        <f t="shared" si="10"/>
        <v>62.89614966</v>
      </c>
      <c r="P16" s="20">
        <f t="shared" si="11"/>
        <v>19.96378412</v>
      </c>
      <c r="Q16" s="20">
        <f t="shared" ref="Q16:R16" si="26">(($Q$3-I16)/C16)*0.0244</f>
        <v>-8.389398444</v>
      </c>
      <c r="R16" s="20">
        <f t="shared" si="26"/>
        <v>-3.755095837</v>
      </c>
      <c r="S16" s="20">
        <f t="shared" si="13"/>
        <v>-6.07224714</v>
      </c>
      <c r="T16" s="20">
        <f t="shared" si="14"/>
        <v>3.2769468</v>
      </c>
    </row>
    <row r="17">
      <c r="B17" s="23">
        <v>60.0</v>
      </c>
      <c r="C17" s="9">
        <v>0.3003</v>
      </c>
      <c r="D17" s="9">
        <v>0.3011</v>
      </c>
      <c r="E17" s="32">
        <v>0.199</v>
      </c>
      <c r="F17" s="20">
        <v>0.078</v>
      </c>
      <c r="G17" s="11">
        <f t="shared" ref="G17:H17" si="27">E17*50</f>
        <v>9.95</v>
      </c>
      <c r="H17" s="11">
        <f t="shared" si="27"/>
        <v>3.9</v>
      </c>
      <c r="I17" s="20">
        <f t="shared" ref="I17:J17" si="28">(G17-0.0244)/0.1678</f>
        <v>59.15137068</v>
      </c>
      <c r="J17" s="20">
        <f t="shared" si="28"/>
        <v>23.0965435</v>
      </c>
      <c r="K17" s="20">
        <f t="shared" si="7"/>
        <v>41.12395709</v>
      </c>
      <c r="L17" s="20">
        <f t="shared" si="8"/>
        <v>25.49461279</v>
      </c>
      <c r="M17" s="20">
        <f t="shared" ref="M17:N17" si="29">(($S$4-I17)/$S$4)*100</f>
        <v>70.65654416</v>
      </c>
      <c r="N17" s="20">
        <f t="shared" si="29"/>
        <v>88.54240575</v>
      </c>
      <c r="O17" s="14">
        <f t="shared" si="10"/>
        <v>79.59947495</v>
      </c>
      <c r="P17" s="20">
        <f t="shared" si="11"/>
        <v>12.64721402</v>
      </c>
      <c r="Q17" s="20">
        <f t="shared" ref="Q17:R17" si="30">(($Q$3-I17)/C17)*0.0244</f>
        <v>-4.806171977</v>
      </c>
      <c r="R17" s="20">
        <f t="shared" si="30"/>
        <v>-1.871656133</v>
      </c>
      <c r="S17" s="20">
        <f t="shared" si="13"/>
        <v>-3.338914055</v>
      </c>
      <c r="T17" s="20">
        <f t="shared" si="14"/>
        <v>2.075016053</v>
      </c>
    </row>
    <row r="18">
      <c r="B18" s="23">
        <v>90.0</v>
      </c>
      <c r="C18" s="9">
        <v>0.3003</v>
      </c>
      <c r="D18" s="9">
        <v>0.3011</v>
      </c>
      <c r="E18" s="9">
        <v>0.129</v>
      </c>
      <c r="F18" s="9">
        <v>0.063</v>
      </c>
      <c r="G18" s="11">
        <f t="shared" ref="G18:H18" si="31">E18*50</f>
        <v>6.45</v>
      </c>
      <c r="H18" s="11">
        <f t="shared" si="31"/>
        <v>3.15</v>
      </c>
      <c r="I18" s="20">
        <f t="shared" ref="I18:J18" si="32">(G18-0.0244)/0.1678</f>
        <v>38.2932062</v>
      </c>
      <c r="J18" s="20">
        <f t="shared" si="32"/>
        <v>18.62693683</v>
      </c>
      <c r="K18" s="20">
        <f t="shared" si="7"/>
        <v>28.46007151</v>
      </c>
      <c r="L18" s="20">
        <f t="shared" si="8"/>
        <v>13.90615243</v>
      </c>
      <c r="M18" s="20">
        <f t="shared" ref="M18:N18" si="33">(($S$4-I18)/$S$4)*100</f>
        <v>81.00373681</v>
      </c>
      <c r="N18" s="20">
        <f t="shared" si="33"/>
        <v>90.75966132</v>
      </c>
      <c r="O18" s="14">
        <f t="shared" si="10"/>
        <v>85.88169907</v>
      </c>
      <c r="P18" s="20">
        <f t="shared" si="11"/>
        <v>6.898480376</v>
      </c>
      <c r="Q18" s="20">
        <f t="shared" ref="Q18:R18" si="34">(($Q$3-I18)/C18)*0.0244</f>
        <v>-3.111402701</v>
      </c>
      <c r="R18" s="20">
        <f t="shared" si="34"/>
        <v>-1.509456189</v>
      </c>
      <c r="S18" s="20">
        <f t="shared" si="13"/>
        <v>-2.310429445</v>
      </c>
      <c r="T18" s="20">
        <f t="shared" si="14"/>
        <v>1.132747242</v>
      </c>
    </row>
    <row r="19">
      <c r="B19" s="23">
        <v>120.0</v>
      </c>
      <c r="C19" s="9">
        <v>0.3003</v>
      </c>
      <c r="D19" s="9">
        <v>0.3011</v>
      </c>
      <c r="E19" s="9">
        <v>0.089</v>
      </c>
      <c r="F19" s="9">
        <v>0.055</v>
      </c>
      <c r="G19" s="11">
        <f t="shared" ref="G19:H19" si="35">E19*50</f>
        <v>4.45</v>
      </c>
      <c r="H19" s="11">
        <f t="shared" si="35"/>
        <v>2.75</v>
      </c>
      <c r="I19" s="20">
        <f t="shared" ref="I19:J19" si="36">(G19-0.0244)/0.1678</f>
        <v>26.37425507</v>
      </c>
      <c r="J19" s="20">
        <f t="shared" si="36"/>
        <v>16.2431466</v>
      </c>
      <c r="K19" s="20">
        <f t="shared" si="7"/>
        <v>21.30870083</v>
      </c>
      <c r="L19" s="20">
        <f t="shared" si="8"/>
        <v>7.163775495</v>
      </c>
      <c r="M19" s="20">
        <f t="shared" ref="M19:N19" si="37">(($S$4-I19)/$S$4)*100</f>
        <v>86.91641833</v>
      </c>
      <c r="N19" s="20">
        <f t="shared" si="37"/>
        <v>91.94219763</v>
      </c>
      <c r="O19" s="14">
        <f t="shared" si="10"/>
        <v>89.42930798</v>
      </c>
      <c r="P19" s="20">
        <f t="shared" si="11"/>
        <v>3.553762618</v>
      </c>
      <c r="Q19" s="20">
        <f t="shared" ref="Q19:R19" si="38">(($Q$3-I19)/C19)*0.0244</f>
        <v>-2.142963116</v>
      </c>
      <c r="R19" s="20">
        <f t="shared" si="38"/>
        <v>-1.316282886</v>
      </c>
      <c r="S19" s="20">
        <f t="shared" si="13"/>
        <v>-1.729623001</v>
      </c>
      <c r="T19" s="20">
        <f t="shared" si="14"/>
        <v>0.5845511959</v>
      </c>
    </row>
    <row r="20">
      <c r="B20" s="53">
        <v>180.0</v>
      </c>
      <c r="C20" s="57">
        <v>0.3003</v>
      </c>
      <c r="D20" s="57">
        <v>0.3011</v>
      </c>
      <c r="E20" s="57">
        <v>0.05</v>
      </c>
      <c r="F20" s="57">
        <v>0.042</v>
      </c>
      <c r="G20" s="58">
        <f t="shared" ref="G20:H20" si="39">E20*50</f>
        <v>2.5</v>
      </c>
      <c r="H20" s="58">
        <f t="shared" si="39"/>
        <v>2.1</v>
      </c>
      <c r="I20" s="59">
        <f t="shared" ref="I20:J20" si="40">(G20-0.0244)/0.1678</f>
        <v>14.75327771</v>
      </c>
      <c r="J20" s="59">
        <f t="shared" si="40"/>
        <v>12.36948749</v>
      </c>
      <c r="K20" s="59">
        <f t="shared" si="7"/>
        <v>13.5613826</v>
      </c>
      <c r="L20" s="59">
        <f t="shared" si="8"/>
        <v>1.685594234</v>
      </c>
      <c r="M20" s="59">
        <f t="shared" ref="M20:N20" si="41">(($S$4-I20)/$S$4)*100</f>
        <v>92.68128282</v>
      </c>
      <c r="N20" s="59">
        <f t="shared" si="41"/>
        <v>93.86381912</v>
      </c>
      <c r="O20" s="55">
        <f t="shared" si="10"/>
        <v>93.27255097</v>
      </c>
      <c r="P20" s="20">
        <f t="shared" si="11"/>
        <v>0.8361794395</v>
      </c>
      <c r="Q20" s="20">
        <f t="shared" ref="Q20:R20" si="42">(($Q$3-I20)/C20)*0.0244</f>
        <v>-1.198734519</v>
      </c>
      <c r="R20" s="20">
        <f t="shared" si="42"/>
        <v>-1.002376269</v>
      </c>
      <c r="S20" s="20">
        <f t="shared" si="13"/>
        <v>-1.100555394</v>
      </c>
      <c r="T20" s="20">
        <f t="shared" si="14"/>
        <v>0.1388462503</v>
      </c>
    </row>
    <row r="21" ht="15.75" customHeight="1">
      <c r="B21" s="23">
        <v>240.0</v>
      </c>
      <c r="C21" s="9">
        <v>0.3003</v>
      </c>
      <c r="D21" s="9">
        <v>0.3011</v>
      </c>
      <c r="E21" s="9">
        <v>0.039</v>
      </c>
      <c r="F21" s="9">
        <v>0.037</v>
      </c>
      <c r="G21" s="11">
        <f t="shared" ref="G21:H21" si="43">E21*50</f>
        <v>1.95</v>
      </c>
      <c r="H21" s="11">
        <f t="shared" si="43"/>
        <v>1.85</v>
      </c>
      <c r="I21" s="20">
        <f t="shared" ref="I21:J21" si="44">(G21-0.0244)/0.1678</f>
        <v>11.47556615</v>
      </c>
      <c r="J21" s="20">
        <f t="shared" si="44"/>
        <v>10.87961859</v>
      </c>
      <c r="K21" s="20">
        <f t="shared" si="7"/>
        <v>11.17759237</v>
      </c>
      <c r="L21" s="20">
        <f t="shared" si="8"/>
        <v>0.4213985585</v>
      </c>
      <c r="M21" s="20">
        <f t="shared" ref="M21:N21" si="45">(($S$4-I21)/$S$4)*100</f>
        <v>94.30727023</v>
      </c>
      <c r="N21" s="20">
        <f t="shared" si="45"/>
        <v>94.60290431</v>
      </c>
      <c r="O21" s="14">
        <f t="shared" si="10"/>
        <v>94.45508727</v>
      </c>
      <c r="P21" s="20">
        <f t="shared" si="11"/>
        <v>0.2090448599</v>
      </c>
      <c r="Q21" s="20">
        <f t="shared" ref="Q21:R21" si="46">(($Q$3-I21)/C21)*0.0244</f>
        <v>-0.9324136332</v>
      </c>
      <c r="R21" s="20">
        <f t="shared" si="46"/>
        <v>-0.8816429548</v>
      </c>
      <c r="S21" s="20">
        <f t="shared" si="13"/>
        <v>-0.907028294</v>
      </c>
      <c r="T21" s="20">
        <f t="shared" si="14"/>
        <v>0.03590029103</v>
      </c>
    </row>
    <row r="22" ht="15.75" customHeight="1">
      <c r="B22" s="23">
        <v>300.0</v>
      </c>
      <c r="C22" s="9">
        <v>0.3003</v>
      </c>
      <c r="D22" s="9">
        <v>0.3011</v>
      </c>
      <c r="E22" s="9">
        <v>0.034</v>
      </c>
      <c r="F22" s="20">
        <v>0.03</v>
      </c>
      <c r="G22" s="11">
        <f t="shared" ref="G22:H22" si="47">E22*50</f>
        <v>1.7</v>
      </c>
      <c r="H22" s="11">
        <f t="shared" si="47"/>
        <v>1.5</v>
      </c>
      <c r="I22" s="20">
        <f t="shared" ref="I22:J22" si="48">(G22-0.0244)/0.1678</f>
        <v>9.985697259</v>
      </c>
      <c r="J22" s="20">
        <f t="shared" si="48"/>
        <v>8.793802145</v>
      </c>
      <c r="K22" s="20">
        <f t="shared" si="7"/>
        <v>9.389749702</v>
      </c>
      <c r="L22" s="20">
        <f t="shared" si="8"/>
        <v>0.842797117</v>
      </c>
      <c r="M22" s="20">
        <f t="shared" ref="M22:N22" si="49">(($S$4-I22)/$S$4)*100</f>
        <v>95.04635542</v>
      </c>
      <c r="N22" s="20">
        <f t="shared" si="49"/>
        <v>95.63762358</v>
      </c>
      <c r="O22" s="14">
        <f t="shared" si="10"/>
        <v>95.3419895</v>
      </c>
      <c r="P22" s="20">
        <f t="shared" si="11"/>
        <v>0.4180897197</v>
      </c>
      <c r="Q22" s="20">
        <f t="shared" ref="Q22:R22" si="50">(($Q$3-I22)/C22)*0.0244</f>
        <v>-0.811358685</v>
      </c>
      <c r="R22" s="20">
        <f t="shared" si="50"/>
        <v>-0.7126163147</v>
      </c>
      <c r="S22" s="20">
        <f t="shared" si="13"/>
        <v>-0.7619874998</v>
      </c>
      <c r="T22" s="20">
        <f t="shared" si="14"/>
        <v>0.06982139966</v>
      </c>
    </row>
    <row r="23" ht="15.75" customHeight="1">
      <c r="B23" s="23">
        <v>360.0</v>
      </c>
      <c r="C23" s="9">
        <v>0.3003</v>
      </c>
      <c r="D23" s="9">
        <v>0.3011</v>
      </c>
      <c r="E23" s="20">
        <v>0.033</v>
      </c>
      <c r="F23" s="9">
        <v>0.027</v>
      </c>
      <c r="G23" s="11">
        <f t="shared" ref="G23:H23" si="51">E23*50</f>
        <v>1.65</v>
      </c>
      <c r="H23" s="11">
        <f t="shared" si="51"/>
        <v>1.35</v>
      </c>
      <c r="I23" s="20">
        <f t="shared" ref="I23:J23" si="52">(G23-0.0244)/0.1678</f>
        <v>9.68772348</v>
      </c>
      <c r="J23" s="20">
        <f t="shared" si="52"/>
        <v>7.89988081</v>
      </c>
      <c r="K23" s="20">
        <f t="shared" si="7"/>
        <v>8.793802145</v>
      </c>
      <c r="L23" s="20">
        <f t="shared" si="8"/>
        <v>1.264195676</v>
      </c>
      <c r="M23" s="20">
        <f t="shared" ref="M23:N23" si="53">(($S$4-I23)/$S$4)*100</f>
        <v>95.19417246</v>
      </c>
      <c r="N23" s="20">
        <f t="shared" si="53"/>
        <v>96.08107469</v>
      </c>
      <c r="O23" s="14">
        <f t="shared" si="10"/>
        <v>95.63762358</v>
      </c>
      <c r="P23" s="20">
        <f t="shared" si="11"/>
        <v>0.6271345796</v>
      </c>
      <c r="Q23" s="20">
        <f t="shared" ref="Q23:R23" si="54">(($Q$3-I23)/C23)*0.0244</f>
        <v>-0.7871476954</v>
      </c>
      <c r="R23" s="20">
        <f t="shared" si="54"/>
        <v>-0.6401763261</v>
      </c>
      <c r="S23" s="20">
        <f t="shared" si="13"/>
        <v>-0.7136620107</v>
      </c>
      <c r="T23" s="20">
        <f t="shared" si="14"/>
        <v>0.1039244519</v>
      </c>
    </row>
    <row r="24" ht="15.75" customHeight="1">
      <c r="B24" s="23">
        <v>480.0</v>
      </c>
      <c r="C24" s="9">
        <v>0.3003</v>
      </c>
      <c r="D24" s="9">
        <v>0.3011</v>
      </c>
      <c r="E24" s="9">
        <v>0.031</v>
      </c>
      <c r="F24" s="9">
        <v>0.025</v>
      </c>
      <c r="G24" s="11">
        <f t="shared" ref="G24:H24" si="55">E24*50</f>
        <v>1.55</v>
      </c>
      <c r="H24" s="11">
        <f t="shared" si="55"/>
        <v>1.25</v>
      </c>
      <c r="I24" s="20">
        <f t="shared" ref="I24:J24" si="56">(G24-0.0244)/0.1678</f>
        <v>9.091775924</v>
      </c>
      <c r="J24" s="20">
        <f t="shared" si="56"/>
        <v>7.303933254</v>
      </c>
      <c r="K24" s="20">
        <f t="shared" si="7"/>
        <v>8.197854589</v>
      </c>
      <c r="L24" s="20">
        <f t="shared" si="8"/>
        <v>1.264195676</v>
      </c>
      <c r="M24" s="20">
        <f t="shared" ref="M24:N24" si="57">(($S$4-I24)/$S$4)*100</f>
        <v>95.48980654</v>
      </c>
      <c r="N24" s="20">
        <f t="shared" si="57"/>
        <v>96.37670876</v>
      </c>
      <c r="O24" s="14">
        <f t="shared" si="10"/>
        <v>95.93325765</v>
      </c>
      <c r="P24" s="20">
        <f t="shared" si="11"/>
        <v>0.6271345796</v>
      </c>
      <c r="Q24" s="20">
        <f t="shared" ref="Q24:R24" si="58">(($Q$3-I24)/C24)*0.0244</f>
        <v>-0.7387257161</v>
      </c>
      <c r="R24" s="20">
        <f t="shared" si="58"/>
        <v>-0.5918830003</v>
      </c>
      <c r="S24" s="20">
        <f t="shared" si="13"/>
        <v>-0.6653043582</v>
      </c>
      <c r="T24" s="20">
        <f t="shared" si="14"/>
        <v>0.1038334801</v>
      </c>
    </row>
    <row r="25" ht="15.75" customHeight="1">
      <c r="B25" s="23">
        <v>1440.0</v>
      </c>
      <c r="C25" s="9">
        <v>0.3003</v>
      </c>
      <c r="D25" s="9">
        <v>0.3011</v>
      </c>
      <c r="E25" s="9">
        <v>0.03</v>
      </c>
      <c r="F25" s="9">
        <v>0.028</v>
      </c>
      <c r="G25" s="11">
        <f t="shared" ref="G25:H25" si="59">E25*50</f>
        <v>1.5</v>
      </c>
      <c r="H25" s="11">
        <f t="shared" si="59"/>
        <v>1.4</v>
      </c>
      <c r="I25" s="20">
        <f t="shared" ref="I25:J25" si="60">(G25-0.0244)/0.1678</f>
        <v>8.793802145</v>
      </c>
      <c r="J25" s="20">
        <f t="shared" si="60"/>
        <v>8.197854589</v>
      </c>
      <c r="K25" s="20">
        <f t="shared" si="7"/>
        <v>8.495828367</v>
      </c>
      <c r="L25" s="20">
        <f t="shared" si="8"/>
        <v>0.4213985585</v>
      </c>
      <c r="M25" s="20">
        <f t="shared" ref="M25:N25" si="61">(($S$4-I25)/$S$4)*100</f>
        <v>95.63762358</v>
      </c>
      <c r="N25" s="20">
        <f t="shared" si="61"/>
        <v>95.93325765</v>
      </c>
      <c r="O25" s="14">
        <f t="shared" si="10"/>
        <v>95.78544061</v>
      </c>
      <c r="P25" s="20">
        <f t="shared" si="11"/>
        <v>0.2090448599</v>
      </c>
      <c r="Q25" s="20">
        <f t="shared" ref="Q25:R25" si="62">(($Q$3-I25)/C25)*0.0244</f>
        <v>-0.7145147264</v>
      </c>
      <c r="R25" s="20">
        <f t="shared" si="62"/>
        <v>-0.6643229889</v>
      </c>
      <c r="S25" s="20">
        <f t="shared" si="13"/>
        <v>-0.6894188577</v>
      </c>
      <c r="T25" s="20">
        <f t="shared" si="14"/>
        <v>0.03549091795</v>
      </c>
    </row>
    <row r="26" ht="15.75" customHeight="1"/>
    <row r="27" ht="15.75" customHeight="1">
      <c r="O27" s="1">
        <v>9.0</v>
      </c>
    </row>
    <row r="28" ht="15.75" customHeight="1"/>
    <row r="29" ht="15.75" customHeight="1"/>
    <row r="30" ht="15.75" customHeight="1">
      <c r="B30" s="26" t="s">
        <v>224</v>
      </c>
      <c r="C30" s="27"/>
      <c r="D30" s="8"/>
      <c r="F30" s="28" t="s">
        <v>31</v>
      </c>
    </row>
    <row r="31" ht="15.75" customHeight="1"/>
    <row r="32" ht="15.75" customHeight="1">
      <c r="B32" s="15" t="s">
        <v>34</v>
      </c>
      <c r="C32" s="7" t="s">
        <v>5</v>
      </c>
      <c r="D32" s="8"/>
      <c r="E32" s="30" t="s">
        <v>6</v>
      </c>
      <c r="F32" s="8"/>
      <c r="G32" s="7" t="s">
        <v>36</v>
      </c>
      <c r="H32" s="8"/>
      <c r="I32" s="7" t="s">
        <v>37</v>
      </c>
      <c r="J32" s="8"/>
      <c r="K32" s="9" t="s">
        <v>7</v>
      </c>
      <c r="L32" s="9" t="s">
        <v>38</v>
      </c>
      <c r="M32" s="7" t="s">
        <v>9</v>
      </c>
      <c r="N32" s="8"/>
      <c r="O32" s="31" t="s">
        <v>10</v>
      </c>
      <c r="P32" s="9" t="s">
        <v>38</v>
      </c>
      <c r="Q32" s="7" t="s">
        <v>11</v>
      </c>
      <c r="R32" s="8"/>
      <c r="S32" s="9" t="s">
        <v>12</v>
      </c>
      <c r="T32" s="9" t="s">
        <v>38</v>
      </c>
    </row>
    <row r="33" ht="15.75" customHeight="1">
      <c r="B33" s="23"/>
      <c r="C33" s="9" t="s">
        <v>15</v>
      </c>
      <c r="D33" s="9" t="s">
        <v>16</v>
      </c>
      <c r="E33" s="32" t="s">
        <v>17</v>
      </c>
      <c r="F33" s="9" t="s">
        <v>18</v>
      </c>
      <c r="G33" s="9" t="s">
        <v>19</v>
      </c>
      <c r="H33" s="9" t="s">
        <v>20</v>
      </c>
      <c r="I33" s="9" t="s">
        <v>21</v>
      </c>
      <c r="J33" s="9" t="s">
        <v>22</v>
      </c>
      <c r="K33" s="9"/>
      <c r="L33" s="9"/>
      <c r="M33" s="9"/>
      <c r="N33" s="9"/>
      <c r="O33" s="31"/>
      <c r="P33" s="9"/>
      <c r="Q33" s="9">
        <v>1.0</v>
      </c>
      <c r="R33" s="9">
        <v>2.0</v>
      </c>
      <c r="S33" s="9"/>
      <c r="T33" s="9"/>
    </row>
    <row r="34" ht="15.75" customHeight="1">
      <c r="B34" s="23">
        <v>0.0</v>
      </c>
      <c r="C34" s="9">
        <v>0.3025</v>
      </c>
      <c r="D34" s="9">
        <v>0.3011</v>
      </c>
      <c r="E34" s="32">
        <v>0.677</v>
      </c>
      <c r="F34" s="32">
        <v>0.677</v>
      </c>
      <c r="G34" s="11">
        <f t="shared" ref="G34:H34" si="63">E34*50</f>
        <v>33.85</v>
      </c>
      <c r="H34" s="11">
        <f t="shared" si="63"/>
        <v>33.85</v>
      </c>
      <c r="I34" s="20">
        <f t="shared" ref="I34:J34" si="64">(G34-0.0244)/0.1678</f>
        <v>201.5828367</v>
      </c>
      <c r="J34" s="20">
        <f t="shared" si="64"/>
        <v>201.5828367</v>
      </c>
      <c r="K34" s="20">
        <f t="shared" ref="K34:K47" si="69">(I34+J34)/2</f>
        <v>201.5828367</v>
      </c>
      <c r="L34" s="20">
        <f t="shared" ref="L34:L47" si="70">STDEV(I34:J34)</f>
        <v>0</v>
      </c>
      <c r="M34" s="20">
        <f t="shared" ref="M34:N34" si="65">(($S$4-I34)/$S$4)*100</f>
        <v>0</v>
      </c>
      <c r="N34" s="20">
        <f t="shared" si="65"/>
        <v>0</v>
      </c>
      <c r="O34" s="14">
        <f t="shared" ref="O34:O40" si="72">(M34+N34)/2</f>
        <v>0</v>
      </c>
      <c r="P34" s="20">
        <f t="shared" ref="P34:P47" si="73">STDEV(M34:N34)</f>
        <v>0</v>
      </c>
      <c r="Q34" s="20">
        <f t="shared" ref="Q34:R34" si="66">(($Q$3-I34)/C34)*0.0244</f>
        <v>-16.25990485</v>
      </c>
      <c r="R34" s="20">
        <f t="shared" si="66"/>
        <v>-16.33550719</v>
      </c>
      <c r="S34" s="20">
        <f t="shared" ref="S34:S47" si="75">(Q34+R34)/2</f>
        <v>-16.29770602</v>
      </c>
      <c r="T34" s="20">
        <f t="shared" ref="T34:T47" si="76">STDEV(Q34:R34)</f>
        <v>0.05345893248</v>
      </c>
    </row>
    <row r="35" ht="15.75" customHeight="1">
      <c r="B35" s="23">
        <v>1.0</v>
      </c>
      <c r="C35" s="9">
        <v>0.3025</v>
      </c>
      <c r="D35" s="9">
        <v>0.3011</v>
      </c>
      <c r="E35" s="44">
        <v>0.69</v>
      </c>
      <c r="F35" s="44">
        <v>0.675</v>
      </c>
      <c r="G35" s="11">
        <f t="shared" ref="G35:H35" si="67">E35*50</f>
        <v>34.5</v>
      </c>
      <c r="H35" s="11">
        <f t="shared" si="67"/>
        <v>33.75</v>
      </c>
      <c r="I35" s="20">
        <f t="shared" ref="I35:J35" si="68">(G35-0.0244)/0.1678</f>
        <v>205.4564958</v>
      </c>
      <c r="J35" s="20">
        <f t="shared" si="68"/>
        <v>200.9868892</v>
      </c>
      <c r="K35" s="20">
        <f t="shared" si="69"/>
        <v>203.2216925</v>
      </c>
      <c r="L35" s="20">
        <f t="shared" si="70"/>
        <v>3.160489189</v>
      </c>
      <c r="M35" s="20">
        <f t="shared" ref="M35:N35" si="71">(($S$4-I35)/$S$4)*100</f>
        <v>-1.921621494</v>
      </c>
      <c r="N35" s="20">
        <f t="shared" si="71"/>
        <v>0.295634076</v>
      </c>
      <c r="O35" s="14">
        <f t="shared" si="72"/>
        <v>-0.8129937089</v>
      </c>
      <c r="P35" s="20">
        <f t="shared" si="73"/>
        <v>1.567836449</v>
      </c>
      <c r="Q35" s="20">
        <f t="shared" ref="Q35:R35" si="74">(($Q$3-I35)/C35)*0.0244</f>
        <v>-16.57235867</v>
      </c>
      <c r="R35" s="20">
        <f t="shared" si="74"/>
        <v>-16.28721387</v>
      </c>
      <c r="S35" s="20">
        <f t="shared" si="75"/>
        <v>-16.42978627</v>
      </c>
      <c r="T35" s="20">
        <f t="shared" si="76"/>
        <v>0.2016278251</v>
      </c>
    </row>
    <row r="36" ht="15.75" customHeight="1">
      <c r="B36" s="23">
        <v>5.0</v>
      </c>
      <c r="C36" s="9">
        <v>0.3025</v>
      </c>
      <c r="D36" s="9">
        <v>0.3011</v>
      </c>
      <c r="E36" s="32">
        <v>0.673</v>
      </c>
      <c r="F36" s="9">
        <v>0.674</v>
      </c>
      <c r="G36" s="11">
        <f t="shared" ref="G36:H36" si="77">E36*50</f>
        <v>33.65</v>
      </c>
      <c r="H36" s="11">
        <f t="shared" si="77"/>
        <v>33.7</v>
      </c>
      <c r="I36" s="20">
        <f t="shared" ref="I36:J36" si="78">(G36-0.0244)/0.1678</f>
        <v>200.3909416</v>
      </c>
      <c r="J36" s="20">
        <f t="shared" si="78"/>
        <v>200.6889154</v>
      </c>
      <c r="K36" s="20">
        <f t="shared" si="69"/>
        <v>200.5399285</v>
      </c>
      <c r="L36" s="20">
        <f t="shared" si="70"/>
        <v>0.2106992793</v>
      </c>
      <c r="M36" s="20">
        <f t="shared" ref="M36:N36" si="79">(($S$4-I36)/$S$4)*100</f>
        <v>0.5912681519</v>
      </c>
      <c r="N36" s="20">
        <f t="shared" si="79"/>
        <v>0.4434511139</v>
      </c>
      <c r="O36" s="14">
        <f t="shared" si="72"/>
        <v>0.5173596329</v>
      </c>
      <c r="P36" s="20">
        <f t="shared" si="73"/>
        <v>0.1045224299</v>
      </c>
      <c r="Q36" s="20">
        <f t="shared" ref="Q36:R36" si="80">(($Q$3-I36)/C36)*0.0244</f>
        <v>-16.16376521</v>
      </c>
      <c r="R36" s="20">
        <f t="shared" si="80"/>
        <v>-16.2630672</v>
      </c>
      <c r="S36" s="20">
        <f t="shared" si="75"/>
        <v>-16.21341621</v>
      </c>
      <c r="T36" s="20">
        <f t="shared" si="76"/>
        <v>0.07021711589</v>
      </c>
    </row>
    <row r="37" ht="15.75" customHeight="1">
      <c r="B37" s="23">
        <v>10.0</v>
      </c>
      <c r="C37" s="9">
        <v>0.3025</v>
      </c>
      <c r="D37" s="9">
        <v>0.3011</v>
      </c>
      <c r="E37" s="44">
        <v>0.617</v>
      </c>
      <c r="F37" s="9">
        <v>0.623</v>
      </c>
      <c r="G37" s="11">
        <f t="shared" ref="G37:H37" si="81">E37*50</f>
        <v>30.85</v>
      </c>
      <c r="H37" s="11">
        <f t="shared" si="81"/>
        <v>31.15</v>
      </c>
      <c r="I37" s="20">
        <f t="shared" ref="I37:J37" si="82">(G37-0.0244)/0.1678</f>
        <v>183.70441</v>
      </c>
      <c r="J37" s="20">
        <f t="shared" si="82"/>
        <v>185.4922527</v>
      </c>
      <c r="K37" s="20">
        <f t="shared" si="69"/>
        <v>184.5983313</v>
      </c>
      <c r="L37" s="20">
        <f t="shared" si="70"/>
        <v>1.264195676</v>
      </c>
      <c r="M37" s="20">
        <f t="shared" ref="M37:N37" si="83">(($S$4-I37)/$S$4)*100</f>
        <v>8.869022279</v>
      </c>
      <c r="N37" s="20">
        <f t="shared" si="83"/>
        <v>7.982120051</v>
      </c>
      <c r="O37" s="14">
        <f t="shared" si="72"/>
        <v>8.425571165</v>
      </c>
      <c r="P37" s="20">
        <f t="shared" si="73"/>
        <v>0.6271345796</v>
      </c>
      <c r="Q37" s="20">
        <f t="shared" ref="Q37:R37" si="84">(($Q$3-I37)/C37)*0.0244</f>
        <v>-14.81781026</v>
      </c>
      <c r="R37" s="20">
        <f t="shared" si="84"/>
        <v>-15.0315874</v>
      </c>
      <c r="S37" s="20">
        <f t="shared" si="75"/>
        <v>-14.92469883</v>
      </c>
      <c r="T37" s="20">
        <f t="shared" si="76"/>
        <v>0.1511632622</v>
      </c>
    </row>
    <row r="38" ht="15.75" customHeight="1">
      <c r="B38" s="23">
        <v>30.0</v>
      </c>
      <c r="C38" s="9">
        <v>0.3025</v>
      </c>
      <c r="D38" s="9">
        <v>0.3011</v>
      </c>
      <c r="E38" s="44">
        <v>0.468</v>
      </c>
      <c r="F38" s="9">
        <v>0.515</v>
      </c>
      <c r="G38" s="11">
        <f t="shared" ref="G38:H38" si="85">E38*50</f>
        <v>23.4</v>
      </c>
      <c r="H38" s="11">
        <f t="shared" si="85"/>
        <v>25.75</v>
      </c>
      <c r="I38" s="20">
        <f t="shared" ref="I38:J38" si="86">(G38-0.0244)/0.1678</f>
        <v>139.306317</v>
      </c>
      <c r="J38" s="20">
        <f t="shared" si="86"/>
        <v>153.3110846</v>
      </c>
      <c r="K38" s="20">
        <f t="shared" si="69"/>
        <v>146.3087008</v>
      </c>
      <c r="L38" s="20">
        <f t="shared" si="70"/>
        <v>9.902866125</v>
      </c>
      <c r="M38" s="20">
        <f t="shared" ref="M38:N38" si="87">(($S$4-I38)/$S$4)*100</f>
        <v>30.89376094</v>
      </c>
      <c r="N38" s="20">
        <f t="shared" si="87"/>
        <v>23.94636015</v>
      </c>
      <c r="O38" s="14">
        <f t="shared" si="72"/>
        <v>27.42006055</v>
      </c>
      <c r="P38" s="20">
        <f t="shared" si="73"/>
        <v>4.912554207</v>
      </c>
      <c r="Q38" s="20">
        <f t="shared" ref="Q38:R38" si="88">(($Q$3-I38)/C38)*0.0244</f>
        <v>-11.23660871</v>
      </c>
      <c r="R38" s="20">
        <f t="shared" si="88"/>
        <v>-12.42374781</v>
      </c>
      <c r="S38" s="20">
        <f t="shared" si="75"/>
        <v>-11.83017826</v>
      </c>
      <c r="T38" s="20">
        <f t="shared" si="76"/>
        <v>0.8394341035</v>
      </c>
    </row>
    <row r="39" ht="15.75" customHeight="1">
      <c r="B39" s="23">
        <v>60.0</v>
      </c>
      <c r="C39" s="9">
        <v>0.3025</v>
      </c>
      <c r="D39" s="9">
        <v>0.3011</v>
      </c>
      <c r="E39" s="32">
        <v>0.343</v>
      </c>
      <c r="F39" s="20">
        <v>0.341</v>
      </c>
      <c r="G39" s="11">
        <f t="shared" ref="G39:H39" si="89">E39*50</f>
        <v>17.15</v>
      </c>
      <c r="H39" s="11">
        <f t="shared" si="89"/>
        <v>17.05</v>
      </c>
      <c r="I39" s="20">
        <f t="shared" ref="I39:J39" si="90">(G39-0.0244)/0.1678</f>
        <v>102.0595948</v>
      </c>
      <c r="J39" s="20">
        <f t="shared" si="90"/>
        <v>101.4636472</v>
      </c>
      <c r="K39" s="20">
        <f t="shared" si="69"/>
        <v>101.761621</v>
      </c>
      <c r="L39" s="20">
        <f t="shared" si="70"/>
        <v>0.4213985585</v>
      </c>
      <c r="M39" s="20">
        <f t="shared" ref="M39:N39" si="91">(($S$4-I39)/$S$4)*100</f>
        <v>49.37089069</v>
      </c>
      <c r="N39" s="20">
        <f t="shared" si="91"/>
        <v>49.66652476</v>
      </c>
      <c r="O39" s="14">
        <f t="shared" si="72"/>
        <v>49.51870772</v>
      </c>
      <c r="P39" s="20">
        <f t="shared" si="73"/>
        <v>0.2090448599</v>
      </c>
      <c r="Q39" s="20">
        <f t="shared" ref="Q39:R39" si="92">(($Q$3-I39)/C39)*0.0244</f>
        <v>-8.232244998</v>
      </c>
      <c r="R39" s="20">
        <f t="shared" si="92"/>
        <v>-8.222228468</v>
      </c>
      <c r="S39" s="20">
        <f t="shared" si="75"/>
        <v>-8.227236733</v>
      </c>
      <c r="T39" s="20">
        <f t="shared" si="76"/>
        <v>0.007082756758</v>
      </c>
    </row>
    <row r="40" ht="15.75" customHeight="1">
      <c r="B40" s="23">
        <v>90.0</v>
      </c>
      <c r="C40" s="9">
        <v>0.3025</v>
      </c>
      <c r="D40" s="9">
        <v>0.3011</v>
      </c>
      <c r="E40" s="9">
        <v>0.257</v>
      </c>
      <c r="F40" s="9">
        <v>0.337</v>
      </c>
      <c r="G40" s="11">
        <f t="shared" ref="G40:H40" si="93">E40*50</f>
        <v>12.85</v>
      </c>
      <c r="H40" s="11">
        <f t="shared" si="93"/>
        <v>16.85</v>
      </c>
      <c r="I40" s="20">
        <f t="shared" ref="I40:J40" si="94">(G40-0.0244)/0.1678</f>
        <v>76.43384982</v>
      </c>
      <c r="J40" s="20">
        <f t="shared" si="94"/>
        <v>100.2717521</v>
      </c>
      <c r="K40" s="20">
        <f t="shared" si="69"/>
        <v>88.35280095</v>
      </c>
      <c r="L40" s="20">
        <f t="shared" si="70"/>
        <v>16.85594234</v>
      </c>
      <c r="M40" s="20">
        <f t="shared" ref="M40:N40" si="95">(($S$4-I40)/$S$4)*100</f>
        <v>62.08315595</v>
      </c>
      <c r="N40" s="20">
        <f t="shared" si="95"/>
        <v>50.25779291</v>
      </c>
      <c r="O40" s="14">
        <f t="shared" si="72"/>
        <v>56.17047443</v>
      </c>
      <c r="P40" s="20">
        <f t="shared" si="73"/>
        <v>8.361794395</v>
      </c>
      <c r="Q40" s="20">
        <f t="shared" ref="Q40:R40" si="96">(($Q$3-I40)/C40)*0.0244</f>
        <v>-6.165242762</v>
      </c>
      <c r="R40" s="20">
        <f t="shared" si="96"/>
        <v>-8.125641816</v>
      </c>
      <c r="S40" s="20">
        <f t="shared" si="75"/>
        <v>-7.145442289</v>
      </c>
      <c r="T40" s="20">
        <f t="shared" si="76"/>
        <v>1.386211465</v>
      </c>
    </row>
    <row r="41" ht="15.75" customHeight="1">
      <c r="B41" s="23">
        <v>120.0</v>
      </c>
      <c r="C41" s="9">
        <v>0.3025</v>
      </c>
      <c r="D41" s="9">
        <v>0.3011</v>
      </c>
      <c r="E41" s="20">
        <v>0.188</v>
      </c>
      <c r="F41" s="20">
        <v>0.4</v>
      </c>
      <c r="G41" s="11">
        <f t="shared" ref="G41:H41" si="97">E41*50</f>
        <v>9.4</v>
      </c>
      <c r="H41" s="11">
        <f t="shared" si="97"/>
        <v>20</v>
      </c>
      <c r="I41" s="20">
        <f t="shared" ref="I41:J41" si="98">(G41-0.0244)/0.1678</f>
        <v>55.87365912</v>
      </c>
      <c r="J41" s="20">
        <f t="shared" si="98"/>
        <v>119.0441001</v>
      </c>
      <c r="K41" s="20">
        <f t="shared" si="69"/>
        <v>87.45887962</v>
      </c>
      <c r="L41" s="20">
        <f t="shared" si="70"/>
        <v>44.6682472</v>
      </c>
      <c r="M41" s="20">
        <f t="shared" ref="M41:N41" si="99">(($S$4-I41)/$S$4)*100</f>
        <v>72.28253157</v>
      </c>
      <c r="N41" s="20">
        <f t="shared" si="99"/>
        <v>40.94531952</v>
      </c>
      <c r="O41" s="14">
        <v>62.0</v>
      </c>
      <c r="P41" s="20">
        <f t="shared" si="73"/>
        <v>22.15875515</v>
      </c>
      <c r="Q41" s="20">
        <f t="shared" ref="Q41:R41" si="100">(($Q$3-I41)/C41)*0.0244</f>
        <v>-4.506833992</v>
      </c>
      <c r="R41" s="20">
        <f t="shared" si="100"/>
        <v>-9.646881577</v>
      </c>
      <c r="S41" s="20">
        <f t="shared" si="75"/>
        <v>-7.076857784</v>
      </c>
      <c r="T41" s="20">
        <f t="shared" si="76"/>
        <v>3.634562503</v>
      </c>
    </row>
    <row r="42" ht="15.75" customHeight="1">
      <c r="B42" s="23">
        <v>180.0</v>
      </c>
      <c r="C42" s="9">
        <v>0.3025</v>
      </c>
      <c r="D42" s="9">
        <v>0.3011</v>
      </c>
      <c r="E42" s="20">
        <v>0.109</v>
      </c>
      <c r="F42" s="9">
        <v>0.199</v>
      </c>
      <c r="G42" s="11">
        <f t="shared" ref="G42:H42" si="101">E42*50</f>
        <v>5.45</v>
      </c>
      <c r="H42" s="11">
        <f t="shared" si="101"/>
        <v>9.95</v>
      </c>
      <c r="I42" s="20">
        <f t="shared" ref="I42:J42" si="102">(G42-0.0244)/0.1678</f>
        <v>32.33373063</v>
      </c>
      <c r="J42" s="20">
        <f t="shared" si="102"/>
        <v>59.15137068</v>
      </c>
      <c r="K42" s="20">
        <f t="shared" si="69"/>
        <v>45.74255066</v>
      </c>
      <c r="L42" s="20">
        <f t="shared" si="70"/>
        <v>18.96293513</v>
      </c>
      <c r="M42" s="20">
        <f t="shared" ref="M42:N42" si="103">(($S$4-I42)/$S$4)*100</f>
        <v>83.96007757</v>
      </c>
      <c r="N42" s="20">
        <f t="shared" si="103"/>
        <v>70.65654416</v>
      </c>
      <c r="O42" s="14">
        <f t="shared" ref="O42:O47" si="108">(M42+N42)/2</f>
        <v>77.30831087</v>
      </c>
      <c r="P42" s="20">
        <f t="shared" si="73"/>
        <v>9.407018694</v>
      </c>
      <c r="Q42" s="20">
        <f t="shared" ref="Q42:R42" si="104">(($Q$3-I42)/C42)*0.0244</f>
        <v>-2.608076124</v>
      </c>
      <c r="R42" s="20">
        <f t="shared" si="104"/>
        <v>-4.79340234</v>
      </c>
      <c r="S42" s="20">
        <f t="shared" si="75"/>
        <v>-3.700739232</v>
      </c>
      <c r="T42" s="20">
        <f t="shared" si="76"/>
        <v>1.545258987</v>
      </c>
    </row>
    <row r="43" ht="15.75" customHeight="1">
      <c r="B43" s="23">
        <v>240.0</v>
      </c>
      <c r="C43" s="9">
        <v>0.3025</v>
      </c>
      <c r="D43" s="9">
        <v>0.3011</v>
      </c>
      <c r="E43" s="9">
        <v>0.073</v>
      </c>
      <c r="F43" s="9">
        <v>0.147</v>
      </c>
      <c r="G43" s="11">
        <f t="shared" ref="G43:H43" si="105">E43*50</f>
        <v>3.65</v>
      </c>
      <c r="H43" s="11">
        <f t="shared" si="105"/>
        <v>7.35</v>
      </c>
      <c r="I43" s="20">
        <f t="shared" ref="I43:J43" si="106">(G43-0.0244)/0.1678</f>
        <v>21.60667461</v>
      </c>
      <c r="J43" s="20">
        <f t="shared" si="106"/>
        <v>43.65673421</v>
      </c>
      <c r="K43" s="20">
        <f t="shared" si="69"/>
        <v>32.63170441</v>
      </c>
      <c r="L43" s="20">
        <f t="shared" si="70"/>
        <v>15.59174667</v>
      </c>
      <c r="M43" s="20">
        <f t="shared" ref="M43:N43" si="107">(($S$4-I43)/$S$4)*100</f>
        <v>89.28149094</v>
      </c>
      <c r="N43" s="20">
        <f t="shared" si="107"/>
        <v>78.34303013</v>
      </c>
      <c r="O43" s="14">
        <f t="shared" si="108"/>
        <v>83.81226054</v>
      </c>
      <c r="P43" s="20">
        <f t="shared" si="73"/>
        <v>7.734659815</v>
      </c>
      <c r="Q43" s="20">
        <f t="shared" ref="Q43:R43" si="109">(($Q$3-I43)/C43)*0.0244</f>
        <v>-1.742819374</v>
      </c>
      <c r="R43" s="20">
        <f t="shared" si="109"/>
        <v>-3.537775871</v>
      </c>
      <c r="S43" s="20">
        <f t="shared" si="75"/>
        <v>-2.640297622</v>
      </c>
      <c r="T43" s="20">
        <f t="shared" si="76"/>
        <v>1.269225911</v>
      </c>
    </row>
    <row r="44" ht="15.75" customHeight="1">
      <c r="B44" s="200">
        <v>300.0</v>
      </c>
      <c r="C44" s="9">
        <v>0.3025</v>
      </c>
      <c r="D44" s="9">
        <v>0.3011</v>
      </c>
      <c r="E44" s="9">
        <v>0.057</v>
      </c>
      <c r="F44" s="9">
        <v>0.109</v>
      </c>
      <c r="G44" s="11">
        <f t="shared" ref="G44:H44" si="110">E44*50</f>
        <v>2.85</v>
      </c>
      <c r="H44" s="11">
        <f t="shared" si="110"/>
        <v>5.45</v>
      </c>
      <c r="I44" s="20">
        <f t="shared" ref="I44:J44" si="111">(G44-0.0244)/0.1678</f>
        <v>16.83909416</v>
      </c>
      <c r="J44" s="20">
        <f t="shared" si="111"/>
        <v>32.33373063</v>
      </c>
      <c r="K44" s="20">
        <f t="shared" si="69"/>
        <v>24.5864124</v>
      </c>
      <c r="L44" s="20">
        <f t="shared" si="70"/>
        <v>10.95636252</v>
      </c>
      <c r="M44" s="20">
        <f t="shared" ref="M44:N44" si="112">(($S$4-I44)/$S$4)*100</f>
        <v>91.64656355</v>
      </c>
      <c r="N44" s="20">
        <f t="shared" si="112"/>
        <v>83.96007757</v>
      </c>
      <c r="O44" s="14">
        <f t="shared" si="108"/>
        <v>87.80332056</v>
      </c>
      <c r="P44" s="20">
        <f t="shared" si="73"/>
        <v>5.435166357</v>
      </c>
      <c r="Q44" s="20">
        <f t="shared" ref="Q44:R44" si="113">(($Q$3-I44)/C44)*0.0244</f>
        <v>-1.358260818</v>
      </c>
      <c r="R44" s="20">
        <f t="shared" si="113"/>
        <v>-2.620202682</v>
      </c>
      <c r="S44" s="20">
        <f t="shared" si="75"/>
        <v>-1.98923175</v>
      </c>
      <c r="T44" s="20">
        <f t="shared" si="76"/>
        <v>0.8923276491</v>
      </c>
    </row>
    <row r="45" ht="15.75" customHeight="1">
      <c r="B45" s="23">
        <v>360.0</v>
      </c>
      <c r="C45" s="9">
        <v>0.3025</v>
      </c>
      <c r="D45" s="9">
        <v>0.3011</v>
      </c>
      <c r="E45" s="20">
        <v>0.037</v>
      </c>
      <c r="F45" s="20">
        <v>0.08</v>
      </c>
      <c r="G45" s="11">
        <f t="shared" ref="G45:H45" si="114">E45*50</f>
        <v>1.85</v>
      </c>
      <c r="H45" s="11">
        <f t="shared" si="114"/>
        <v>4</v>
      </c>
      <c r="I45" s="20">
        <f t="shared" ref="I45:J45" si="115">(G45-0.0244)/0.1678</f>
        <v>10.87961859</v>
      </c>
      <c r="J45" s="20">
        <f t="shared" si="115"/>
        <v>23.69249106</v>
      </c>
      <c r="K45" s="20">
        <f t="shared" si="69"/>
        <v>17.28605483</v>
      </c>
      <c r="L45" s="20">
        <f t="shared" si="70"/>
        <v>9.060069008</v>
      </c>
      <c r="M45" s="20">
        <f t="shared" ref="M45:N45" si="116">(($S$4-I45)/$S$4)*100</f>
        <v>94.60290431</v>
      </c>
      <c r="N45" s="20">
        <f t="shared" si="116"/>
        <v>88.24677168</v>
      </c>
      <c r="O45" s="14">
        <f t="shared" si="108"/>
        <v>91.42483799</v>
      </c>
      <c r="P45" s="20">
        <f t="shared" si="73"/>
        <v>4.494464487</v>
      </c>
      <c r="Q45" s="20">
        <f t="shared" ref="Q45:R45" si="117">(($Q$3-I45)/C45)*0.0244</f>
        <v>-0.8775626237</v>
      </c>
      <c r="R45" s="20">
        <f t="shared" si="117"/>
        <v>-1.919949458</v>
      </c>
      <c r="S45" s="20">
        <f t="shared" si="75"/>
        <v>-1.398756041</v>
      </c>
      <c r="T45" s="20">
        <f t="shared" si="76"/>
        <v>0.7370787993</v>
      </c>
    </row>
    <row r="46" ht="15.75" customHeight="1">
      <c r="B46" s="53">
        <v>480.0</v>
      </c>
      <c r="C46" s="57">
        <v>0.3025</v>
      </c>
      <c r="D46" s="57">
        <v>0.3011</v>
      </c>
      <c r="E46" s="59">
        <v>0.033</v>
      </c>
      <c r="F46" s="57">
        <v>0.062</v>
      </c>
      <c r="G46" s="58">
        <f t="shared" ref="G46:H46" si="118">E46*50</f>
        <v>1.65</v>
      </c>
      <c r="H46" s="58">
        <f t="shared" si="118"/>
        <v>3.1</v>
      </c>
      <c r="I46" s="59">
        <f t="shared" ref="I46:J46" si="119">(G46-0.0244)/0.1678</f>
        <v>9.68772348</v>
      </c>
      <c r="J46" s="59">
        <f t="shared" si="119"/>
        <v>18.32896305</v>
      </c>
      <c r="K46" s="59">
        <f t="shared" si="69"/>
        <v>14.00834327</v>
      </c>
      <c r="L46" s="59">
        <f t="shared" si="70"/>
        <v>6.110279098</v>
      </c>
      <c r="M46" s="59">
        <f t="shared" ref="M46:N46" si="120">(($S$4-I46)/$S$4)*100</f>
        <v>95.19417246</v>
      </c>
      <c r="N46" s="59">
        <f t="shared" si="120"/>
        <v>90.90747836</v>
      </c>
      <c r="O46" s="55">
        <f t="shared" si="108"/>
        <v>93.05082541</v>
      </c>
      <c r="P46" s="20">
        <f t="shared" si="73"/>
        <v>3.031150468</v>
      </c>
      <c r="Q46" s="20">
        <f t="shared" ref="Q46:R46" si="121">(($Q$3-I46)/C46)*0.0244</f>
        <v>-0.7814229849</v>
      </c>
      <c r="R46" s="20">
        <f t="shared" si="121"/>
        <v>-1.485309527</v>
      </c>
      <c r="S46" s="20">
        <f t="shared" si="75"/>
        <v>-1.133366256</v>
      </c>
      <c r="T46" s="20">
        <f t="shared" si="76"/>
        <v>0.4977229468</v>
      </c>
    </row>
    <row r="47" ht="15.75" customHeight="1">
      <c r="B47" s="23">
        <v>1440.0</v>
      </c>
      <c r="C47" s="9">
        <v>0.3025</v>
      </c>
      <c r="D47" s="9">
        <v>0.3011</v>
      </c>
      <c r="E47" s="9">
        <v>0.025</v>
      </c>
      <c r="F47" s="9">
        <v>0.038</v>
      </c>
      <c r="G47" s="11">
        <f t="shared" ref="G47:H47" si="122">E47*50</f>
        <v>1.25</v>
      </c>
      <c r="H47" s="11">
        <f t="shared" si="122"/>
        <v>1.9</v>
      </c>
      <c r="I47" s="20">
        <f t="shared" ref="I47:J47" si="123">(G47-0.0244)/0.1678</f>
        <v>7.303933254</v>
      </c>
      <c r="J47" s="20">
        <f t="shared" si="123"/>
        <v>11.17759237</v>
      </c>
      <c r="K47" s="20">
        <f t="shared" si="69"/>
        <v>9.240762813</v>
      </c>
      <c r="L47" s="20">
        <f t="shared" si="70"/>
        <v>2.73909063</v>
      </c>
      <c r="M47" s="20">
        <f t="shared" ref="M47:N47" si="124">(($S$4-I47)/$S$4)*100</f>
        <v>96.37670876</v>
      </c>
      <c r="N47" s="20">
        <f t="shared" si="124"/>
        <v>94.45508727</v>
      </c>
      <c r="O47" s="14">
        <f t="shared" si="108"/>
        <v>95.41589802</v>
      </c>
      <c r="P47" s="20">
        <f t="shared" si="73"/>
        <v>1.358791589</v>
      </c>
      <c r="Q47" s="20">
        <f t="shared" ref="Q47:R47" si="125">(($Q$3-I47)/C47)*0.0244</f>
        <v>-0.5891437071</v>
      </c>
      <c r="R47" s="20">
        <f t="shared" si="125"/>
        <v>-0.9057896176</v>
      </c>
      <c r="S47" s="20">
        <f t="shared" si="75"/>
        <v>-0.7474666624</v>
      </c>
      <c r="T47" s="20">
        <f t="shared" si="76"/>
        <v>0.2239024706</v>
      </c>
    </row>
    <row r="48" ht="15.75" customHeight="1"/>
    <row r="49" ht="15.75" customHeight="1"/>
    <row r="50" ht="15.75" customHeight="1"/>
    <row r="51" ht="15.75" customHeight="1"/>
    <row r="52" ht="15.75" customHeight="1">
      <c r="B52" s="26" t="s">
        <v>191</v>
      </c>
      <c r="C52" s="27"/>
      <c r="D52" s="8"/>
      <c r="F52" s="28" t="s">
        <v>31</v>
      </c>
    </row>
    <row r="53" ht="15.75" customHeight="1"/>
    <row r="54" ht="15.75" customHeight="1">
      <c r="B54" s="15" t="s">
        <v>34</v>
      </c>
      <c r="C54" s="7" t="s">
        <v>5</v>
      </c>
      <c r="D54" s="8"/>
      <c r="E54" s="30" t="s">
        <v>6</v>
      </c>
      <c r="F54" s="8"/>
      <c r="G54" s="7" t="s">
        <v>36</v>
      </c>
      <c r="H54" s="8"/>
      <c r="I54" s="7" t="s">
        <v>37</v>
      </c>
      <c r="J54" s="8"/>
      <c r="K54" s="9" t="s">
        <v>7</v>
      </c>
      <c r="L54" s="9" t="s">
        <v>38</v>
      </c>
      <c r="M54" s="7" t="s">
        <v>9</v>
      </c>
      <c r="N54" s="8"/>
      <c r="O54" s="31" t="s">
        <v>10</v>
      </c>
      <c r="P54" s="9" t="s">
        <v>38</v>
      </c>
      <c r="Q54" s="7" t="s">
        <v>11</v>
      </c>
      <c r="R54" s="8"/>
      <c r="S54" s="9" t="s">
        <v>12</v>
      </c>
      <c r="T54" s="9" t="s">
        <v>38</v>
      </c>
    </row>
    <row r="55" ht="15.75" customHeight="1">
      <c r="B55" s="23"/>
      <c r="C55" s="9" t="s">
        <v>15</v>
      </c>
      <c r="D55" s="9" t="s">
        <v>16</v>
      </c>
      <c r="E55" s="32" t="s">
        <v>17</v>
      </c>
      <c r="F55" s="9" t="s">
        <v>18</v>
      </c>
      <c r="G55" s="9" t="s">
        <v>19</v>
      </c>
      <c r="H55" s="9" t="s">
        <v>20</v>
      </c>
      <c r="I55" s="9" t="s">
        <v>21</v>
      </c>
      <c r="J55" s="9" t="s">
        <v>22</v>
      </c>
      <c r="K55" s="9"/>
      <c r="L55" s="9"/>
      <c r="M55" s="9"/>
      <c r="N55" s="9"/>
      <c r="O55" s="31"/>
      <c r="P55" s="9"/>
      <c r="Q55" s="9">
        <v>1.0</v>
      </c>
      <c r="R55" s="9">
        <v>2.0</v>
      </c>
      <c r="S55" s="9"/>
      <c r="T55" s="9"/>
    </row>
    <row r="56" ht="15.75" customHeight="1">
      <c r="B56" s="23">
        <v>0.0</v>
      </c>
      <c r="C56" s="43">
        <v>0.3015</v>
      </c>
      <c r="D56" s="9">
        <v>0.3021</v>
      </c>
      <c r="E56" s="32">
        <v>0.677</v>
      </c>
      <c r="F56" s="32">
        <v>0.677</v>
      </c>
      <c r="G56" s="11">
        <f t="shared" ref="G56:H56" si="126">E56*50</f>
        <v>33.85</v>
      </c>
      <c r="H56" s="11">
        <f t="shared" si="126"/>
        <v>33.85</v>
      </c>
      <c r="I56" s="20">
        <f t="shared" ref="I56:J56" si="127">(G56-0.0244)/0.1678</f>
        <v>201.5828367</v>
      </c>
      <c r="J56" s="20">
        <f t="shared" si="127"/>
        <v>201.5828367</v>
      </c>
      <c r="K56" s="20">
        <f t="shared" ref="K56:K69" si="132">(I56+J56)/2</f>
        <v>201.5828367</v>
      </c>
      <c r="L56" s="20">
        <f t="shared" ref="L56:L69" si="133">STDEV(I56:J56)</f>
        <v>0</v>
      </c>
      <c r="M56" s="20">
        <f t="shared" ref="M56:N56" si="128">(($S$4-I56)/$S$4)*100</f>
        <v>0</v>
      </c>
      <c r="N56" s="20">
        <f t="shared" si="128"/>
        <v>0</v>
      </c>
      <c r="O56" s="14">
        <f t="shared" ref="O56:O69" si="135">(M56+N56)/2</f>
        <v>0</v>
      </c>
      <c r="P56" s="20">
        <f t="shared" ref="P56:P69" si="136">STDEV(M56:N56)</f>
        <v>0</v>
      </c>
      <c r="Q56" s="20">
        <f t="shared" ref="Q56:R56" si="129">(($Q$3-I56)/C56)*0.0244</f>
        <v>-16.31383488</v>
      </c>
      <c r="R56" s="20">
        <f t="shared" si="129"/>
        <v>-16.28143401</v>
      </c>
      <c r="S56" s="20">
        <f t="shared" ref="S56:S69" si="138">(Q56+R56)/2</f>
        <v>-16.29763445</v>
      </c>
      <c r="T56" s="20">
        <f t="shared" ref="T56:T69" si="139">STDEV(Q56:R56)</f>
        <v>0.02291087045</v>
      </c>
    </row>
    <row r="57" ht="15.75" customHeight="1">
      <c r="B57" s="23">
        <v>1.0</v>
      </c>
      <c r="C57" s="43">
        <v>0.3015</v>
      </c>
      <c r="D57" s="9">
        <v>0.3021</v>
      </c>
      <c r="E57" s="32">
        <v>0.628</v>
      </c>
      <c r="F57" s="9">
        <v>0.719</v>
      </c>
      <c r="G57" s="11">
        <f t="shared" ref="G57:H57" si="130">E57*50</f>
        <v>31.4</v>
      </c>
      <c r="H57" s="11">
        <f t="shared" si="130"/>
        <v>35.95</v>
      </c>
      <c r="I57" s="20">
        <f t="shared" ref="I57:J57" si="131">(G57-0.0244)/0.1678</f>
        <v>186.9821216</v>
      </c>
      <c r="J57" s="20">
        <f t="shared" si="131"/>
        <v>214.0977354</v>
      </c>
      <c r="K57" s="20">
        <f t="shared" si="132"/>
        <v>200.5399285</v>
      </c>
      <c r="L57" s="20">
        <f t="shared" si="133"/>
        <v>19.17363441</v>
      </c>
      <c r="M57" s="20">
        <f t="shared" ref="M57:N57" si="134">(($S$4-I57)/$S$4)*100</f>
        <v>7.243034861</v>
      </c>
      <c r="N57" s="20">
        <f t="shared" si="134"/>
        <v>-6.208315595</v>
      </c>
      <c r="O57" s="14">
        <f t="shared" si="135"/>
        <v>0.5173596329</v>
      </c>
      <c r="P57" s="20">
        <f t="shared" si="136"/>
        <v>9.511541124</v>
      </c>
      <c r="Q57" s="20">
        <f t="shared" ref="Q57:R57" si="137">(($Q$3-I57)/C57)*0.0244</f>
        <v>-15.13221813</v>
      </c>
      <c r="R57" s="20">
        <f t="shared" si="137"/>
        <v>-17.29223682</v>
      </c>
      <c r="S57" s="20">
        <f t="shared" si="138"/>
        <v>-16.21222748</v>
      </c>
      <c r="T57" s="20">
        <f t="shared" si="139"/>
        <v>1.527363864</v>
      </c>
    </row>
    <row r="58" ht="15.75" customHeight="1">
      <c r="B58" s="23">
        <v>5.0</v>
      </c>
      <c r="C58" s="43">
        <v>0.3015</v>
      </c>
      <c r="D58" s="9">
        <v>0.3021</v>
      </c>
      <c r="E58" s="32">
        <v>0.537</v>
      </c>
      <c r="F58" s="9">
        <v>0.523</v>
      </c>
      <c r="G58" s="11">
        <f t="shared" ref="G58:H58" si="140">E58*50</f>
        <v>26.85</v>
      </c>
      <c r="H58" s="11">
        <f t="shared" si="140"/>
        <v>26.15</v>
      </c>
      <c r="I58" s="20">
        <f t="shared" ref="I58:J58" si="141">(G58-0.0244)/0.1678</f>
        <v>159.8665077</v>
      </c>
      <c r="J58" s="20">
        <f t="shared" si="141"/>
        <v>155.6948749</v>
      </c>
      <c r="K58" s="20">
        <f t="shared" si="132"/>
        <v>157.7806913</v>
      </c>
      <c r="L58" s="20">
        <f t="shared" si="133"/>
        <v>2.94978991</v>
      </c>
      <c r="M58" s="20">
        <f t="shared" ref="M58:N58" si="142">(($S$4-I58)/$S$4)*100</f>
        <v>20.69438532</v>
      </c>
      <c r="N58" s="20">
        <f t="shared" si="142"/>
        <v>22.76382385</v>
      </c>
      <c r="O58" s="14">
        <f t="shared" si="135"/>
        <v>21.72910458</v>
      </c>
      <c r="P58" s="20">
        <f t="shared" si="136"/>
        <v>1.463314019</v>
      </c>
      <c r="Q58" s="20">
        <f t="shared" ref="Q58:R58" si="143">(($Q$3-I58)/C58)*0.0244</f>
        <v>-12.93778703</v>
      </c>
      <c r="R58" s="20">
        <f t="shared" si="143"/>
        <v>-12.57515706</v>
      </c>
      <c r="S58" s="20">
        <f t="shared" si="138"/>
        <v>-12.75647204</v>
      </c>
      <c r="T58" s="20">
        <f t="shared" si="139"/>
        <v>0.2564181131</v>
      </c>
    </row>
    <row r="59" ht="15.75" customHeight="1">
      <c r="B59" s="23">
        <v>10.0</v>
      </c>
      <c r="C59" s="43">
        <v>0.3015</v>
      </c>
      <c r="D59" s="9">
        <v>0.3021</v>
      </c>
      <c r="E59" s="44">
        <v>0.499</v>
      </c>
      <c r="F59" s="9">
        <v>0.478</v>
      </c>
      <c r="G59" s="11">
        <f t="shared" ref="G59:H59" si="144">E59*50</f>
        <v>24.95</v>
      </c>
      <c r="H59" s="11">
        <f t="shared" si="144"/>
        <v>23.9</v>
      </c>
      <c r="I59" s="20">
        <f t="shared" ref="I59:J59" si="145">(G59-0.0244)/0.1678</f>
        <v>148.5435042</v>
      </c>
      <c r="J59" s="20">
        <f t="shared" si="145"/>
        <v>142.2860548</v>
      </c>
      <c r="K59" s="20">
        <f t="shared" si="132"/>
        <v>145.4147795</v>
      </c>
      <c r="L59" s="20">
        <f t="shared" si="133"/>
        <v>4.424684864</v>
      </c>
      <c r="M59" s="20">
        <f t="shared" ref="M59:N59" si="146">(($S$4-I59)/$S$4)*100</f>
        <v>26.31143276</v>
      </c>
      <c r="N59" s="20">
        <f t="shared" si="146"/>
        <v>29.41559056</v>
      </c>
      <c r="O59" s="14">
        <f t="shared" si="135"/>
        <v>27.86351166</v>
      </c>
      <c r="P59" s="20">
        <f t="shared" si="136"/>
        <v>2.194971029</v>
      </c>
      <c r="Q59" s="20">
        <f t="shared" ref="Q59:R59" si="147">(($Q$3-I59)/C59)*0.0244</f>
        <v>-12.02143118</v>
      </c>
      <c r="R59" s="20">
        <f t="shared" si="147"/>
        <v>-11.49215405</v>
      </c>
      <c r="S59" s="20">
        <f t="shared" si="138"/>
        <v>-11.75679262</v>
      </c>
      <c r="T59" s="20">
        <f t="shared" si="139"/>
        <v>0.3742554518</v>
      </c>
    </row>
    <row r="60" ht="15.75" customHeight="1">
      <c r="B60" s="23">
        <v>30.0</v>
      </c>
      <c r="C60" s="43">
        <v>0.3015</v>
      </c>
      <c r="D60" s="9">
        <v>0.3021</v>
      </c>
      <c r="E60" s="44">
        <v>0.326</v>
      </c>
      <c r="F60" s="9">
        <v>0.438</v>
      </c>
      <c r="G60" s="11">
        <f t="shared" ref="G60:H60" si="148">E60*50</f>
        <v>16.3</v>
      </c>
      <c r="H60" s="11">
        <f t="shared" si="148"/>
        <v>21.9</v>
      </c>
      <c r="I60" s="20">
        <f t="shared" ref="I60:J60" si="149">(G60-0.0244)/0.1678</f>
        <v>96.99404052</v>
      </c>
      <c r="J60" s="20">
        <f t="shared" si="149"/>
        <v>130.3671037</v>
      </c>
      <c r="K60" s="20">
        <f t="shared" si="132"/>
        <v>113.6805721</v>
      </c>
      <c r="L60" s="20">
        <f t="shared" si="133"/>
        <v>23.59831928</v>
      </c>
      <c r="M60" s="20">
        <f t="shared" ref="M60:N60" si="150">(($S$4-I60)/$S$4)*100</f>
        <v>51.88378033</v>
      </c>
      <c r="N60" s="20">
        <f t="shared" si="150"/>
        <v>35.32827208</v>
      </c>
      <c r="O60" s="14">
        <f t="shared" si="135"/>
        <v>43.60602621</v>
      </c>
      <c r="P60" s="20">
        <f t="shared" si="136"/>
        <v>11.70651215</v>
      </c>
      <c r="Q60" s="20">
        <f t="shared" ref="Q60:R60" si="151">(($Q$3-I60)/C60)*0.0244</f>
        <v>-7.849600626</v>
      </c>
      <c r="R60" s="20">
        <f t="shared" si="151"/>
        <v>-10.52948471</v>
      </c>
      <c r="S60" s="20">
        <f t="shared" si="138"/>
        <v>-9.189542667</v>
      </c>
      <c r="T60" s="20">
        <f t="shared" si="139"/>
        <v>1.894964207</v>
      </c>
    </row>
    <row r="61" ht="15.75" customHeight="1">
      <c r="B61" s="23">
        <v>60.0</v>
      </c>
      <c r="C61" s="43">
        <v>0.3015</v>
      </c>
      <c r="D61" s="9">
        <v>0.3021</v>
      </c>
      <c r="E61" s="44">
        <v>0.205</v>
      </c>
      <c r="F61" s="20">
        <v>0.27</v>
      </c>
      <c r="G61" s="11">
        <f t="shared" ref="G61:H61" si="152">E61*50</f>
        <v>10.25</v>
      </c>
      <c r="H61" s="11">
        <f t="shared" si="152"/>
        <v>13.5</v>
      </c>
      <c r="I61" s="20">
        <f t="shared" ref="I61:J61" si="153">(G61-0.0244)/0.1678</f>
        <v>60.93921335</v>
      </c>
      <c r="J61" s="20">
        <f t="shared" si="153"/>
        <v>80.30750894</v>
      </c>
      <c r="K61" s="20">
        <f t="shared" si="132"/>
        <v>70.62336114</v>
      </c>
      <c r="L61" s="20">
        <f t="shared" si="133"/>
        <v>13.69545315</v>
      </c>
      <c r="M61" s="20">
        <f t="shared" ref="M61:N61" si="154">(($S$4-I61)/$S$4)*100</f>
        <v>69.76964193</v>
      </c>
      <c r="N61" s="20">
        <f t="shared" si="154"/>
        <v>60.16153446</v>
      </c>
      <c r="O61" s="14">
        <f t="shared" si="135"/>
        <v>64.96558819</v>
      </c>
      <c r="P61" s="20">
        <f t="shared" si="136"/>
        <v>6.793957946</v>
      </c>
      <c r="Q61" s="20">
        <f t="shared" ref="Q61:R61" si="155">(($Q$3-I61)/C61)*0.0244</f>
        <v>-4.931730699</v>
      </c>
      <c r="R61" s="20">
        <f t="shared" si="155"/>
        <v>-6.486273479</v>
      </c>
      <c r="S61" s="20">
        <f t="shared" si="138"/>
        <v>-5.709002089</v>
      </c>
      <c r="T61" s="20">
        <f t="shared" si="139"/>
        <v>1.099227742</v>
      </c>
    </row>
    <row r="62" ht="15.75" customHeight="1">
      <c r="B62" s="23">
        <v>90.0</v>
      </c>
      <c r="C62" s="43">
        <v>0.3015</v>
      </c>
      <c r="D62" s="9">
        <v>0.3021</v>
      </c>
      <c r="E62" s="9">
        <v>0.118</v>
      </c>
      <c r="F62" s="9">
        <v>0.23</v>
      </c>
      <c r="G62" s="11">
        <f t="shared" ref="G62:H62" si="156">E62*50</f>
        <v>5.9</v>
      </c>
      <c r="H62" s="11">
        <f t="shared" si="156"/>
        <v>11.5</v>
      </c>
      <c r="I62" s="20">
        <f t="shared" ref="I62:J62" si="157">(G62-0.0244)/0.1678</f>
        <v>35.01549464</v>
      </c>
      <c r="J62" s="20">
        <f t="shared" si="157"/>
        <v>68.38855781</v>
      </c>
      <c r="K62" s="20">
        <f t="shared" si="132"/>
        <v>51.70202622</v>
      </c>
      <c r="L62" s="20">
        <f t="shared" si="133"/>
        <v>23.59831928</v>
      </c>
      <c r="M62" s="20">
        <f t="shared" ref="M62:N62" si="158">(($S$4-I62)/$S$4)*100</f>
        <v>82.62972423</v>
      </c>
      <c r="N62" s="20">
        <f t="shared" si="158"/>
        <v>66.07421598</v>
      </c>
      <c r="O62" s="14">
        <f t="shared" si="135"/>
        <v>74.35197011</v>
      </c>
      <c r="P62" s="20">
        <f t="shared" si="136"/>
        <v>11.70651215</v>
      </c>
      <c r="Q62" s="20">
        <f t="shared" ref="Q62:R62" si="159">(($Q$3-I62)/C62)*0.0244</f>
        <v>-2.833758107</v>
      </c>
      <c r="R62" s="20">
        <f t="shared" si="159"/>
        <v>-5.523604139</v>
      </c>
      <c r="S62" s="20">
        <f t="shared" si="138"/>
        <v>-4.178681123</v>
      </c>
      <c r="T62" s="20">
        <f t="shared" si="139"/>
        <v>1.90200837</v>
      </c>
    </row>
    <row r="63" ht="15.75" customHeight="1">
      <c r="B63" s="23">
        <v>120.0</v>
      </c>
      <c r="C63" s="43">
        <v>0.3015</v>
      </c>
      <c r="D63" s="9">
        <v>0.3021</v>
      </c>
      <c r="E63" s="9">
        <v>0.101</v>
      </c>
      <c r="F63" s="9">
        <v>0.178</v>
      </c>
      <c r="G63" s="11">
        <f t="shared" ref="G63:H63" si="160">E63*50</f>
        <v>5.05</v>
      </c>
      <c r="H63" s="11">
        <f t="shared" si="160"/>
        <v>8.9</v>
      </c>
      <c r="I63" s="20">
        <f t="shared" ref="I63:J63" si="161">(G63-0.0244)/0.1678</f>
        <v>29.94994041</v>
      </c>
      <c r="J63" s="20">
        <f t="shared" si="161"/>
        <v>52.89392133</v>
      </c>
      <c r="K63" s="20">
        <f t="shared" si="132"/>
        <v>41.42193087</v>
      </c>
      <c r="L63" s="20">
        <f t="shared" si="133"/>
        <v>16.2238445</v>
      </c>
      <c r="M63" s="20">
        <f t="shared" ref="M63:N63" si="162">(($S$4-I63)/$S$4)*100</f>
        <v>85.14261388</v>
      </c>
      <c r="N63" s="20">
        <f t="shared" si="162"/>
        <v>73.76070195</v>
      </c>
      <c r="O63" s="14">
        <f t="shared" si="135"/>
        <v>79.45165792</v>
      </c>
      <c r="P63" s="20">
        <f t="shared" si="136"/>
        <v>8.048227105</v>
      </c>
      <c r="Q63" s="20">
        <f t="shared" ref="Q63:R63" si="163">(($Q$3-I63)/C63)*0.0244</f>
        <v>-2.423809439</v>
      </c>
      <c r="R63" s="20">
        <f t="shared" si="163"/>
        <v>-4.272133997</v>
      </c>
      <c r="S63" s="20">
        <f t="shared" si="138"/>
        <v>-3.347971718</v>
      </c>
      <c r="T63" s="20">
        <f t="shared" si="139"/>
        <v>1.306962829</v>
      </c>
    </row>
    <row r="64" ht="15.75" customHeight="1">
      <c r="B64" s="23">
        <v>180.0</v>
      </c>
      <c r="C64" s="43">
        <v>0.3015</v>
      </c>
      <c r="D64" s="9">
        <v>0.3021</v>
      </c>
      <c r="E64" s="9">
        <v>0.064</v>
      </c>
      <c r="F64" s="20">
        <v>0.123</v>
      </c>
      <c r="G64" s="11">
        <f t="shared" ref="G64:H64" si="164">E64*50</f>
        <v>3.2</v>
      </c>
      <c r="H64" s="11">
        <f t="shared" si="164"/>
        <v>6.15</v>
      </c>
      <c r="I64" s="20">
        <f t="shared" ref="I64:J64" si="165">(G64-0.0244)/0.1678</f>
        <v>18.92491061</v>
      </c>
      <c r="J64" s="20">
        <f t="shared" si="165"/>
        <v>36.50536353</v>
      </c>
      <c r="K64" s="20">
        <f t="shared" si="132"/>
        <v>27.71513707</v>
      </c>
      <c r="L64" s="20">
        <f t="shared" si="133"/>
        <v>12.43125748</v>
      </c>
      <c r="M64" s="20">
        <f t="shared" ref="M64:N64" si="166">(($S$4-I64)/$S$4)*100</f>
        <v>90.61184428</v>
      </c>
      <c r="N64" s="20">
        <f t="shared" si="166"/>
        <v>81.89063904</v>
      </c>
      <c r="O64" s="14">
        <f t="shared" si="135"/>
        <v>86.25124166</v>
      </c>
      <c r="P64" s="20">
        <f t="shared" si="136"/>
        <v>6.166823366</v>
      </c>
      <c r="Q64" s="20">
        <f t="shared" ref="Q64:R64" si="167">(($Q$3-I64)/C64)*0.0244</f>
        <v>-1.531568222</v>
      </c>
      <c r="R64" s="20">
        <f t="shared" si="167"/>
        <v>-2.948463655</v>
      </c>
      <c r="S64" s="20">
        <f t="shared" si="138"/>
        <v>-2.240015938</v>
      </c>
      <c r="T64" s="20">
        <f t="shared" si="139"/>
        <v>1.001896369</v>
      </c>
    </row>
    <row r="65" ht="15.75" customHeight="1">
      <c r="B65" s="23">
        <v>240.0</v>
      </c>
      <c r="C65" s="43">
        <v>0.3015</v>
      </c>
      <c r="D65" s="9">
        <v>0.3021</v>
      </c>
      <c r="E65" s="9">
        <v>0.045</v>
      </c>
      <c r="F65" s="20">
        <v>0.092</v>
      </c>
      <c r="G65" s="11">
        <f t="shared" ref="G65:H65" si="168">E65*50</f>
        <v>2.25</v>
      </c>
      <c r="H65" s="11">
        <f t="shared" si="168"/>
        <v>4.6</v>
      </c>
      <c r="I65" s="20">
        <f t="shared" ref="I65:J65" si="169">(G65-0.0244)/0.1678</f>
        <v>13.26340882</v>
      </c>
      <c r="J65" s="20">
        <f t="shared" si="169"/>
        <v>27.2681764</v>
      </c>
      <c r="K65" s="20">
        <f t="shared" si="132"/>
        <v>20.26579261</v>
      </c>
      <c r="L65" s="20">
        <f t="shared" si="133"/>
        <v>9.902866125</v>
      </c>
      <c r="M65" s="20">
        <f t="shared" ref="M65:N65" si="170">(($S$4-I65)/$S$4)*100</f>
        <v>93.42036801</v>
      </c>
      <c r="N65" s="20">
        <f t="shared" si="170"/>
        <v>86.47296722</v>
      </c>
      <c r="O65" s="14">
        <f t="shared" si="135"/>
        <v>89.94666761</v>
      </c>
      <c r="P65" s="20">
        <f t="shared" si="136"/>
        <v>4.912554207</v>
      </c>
      <c r="Q65" s="20">
        <f t="shared" ref="Q65:R65" si="171">(($Q$3-I65)/C65)*0.0244</f>
        <v>-1.073390299</v>
      </c>
      <c r="R65" s="20">
        <f t="shared" si="171"/>
        <v>-2.202394916</v>
      </c>
      <c r="S65" s="20">
        <f t="shared" si="138"/>
        <v>-1.637892608</v>
      </c>
      <c r="T65" s="20">
        <f t="shared" si="139"/>
        <v>0.7983268206</v>
      </c>
    </row>
    <row r="66" ht="15.75" customHeight="1">
      <c r="B66" s="53">
        <v>300.0</v>
      </c>
      <c r="C66" s="237">
        <v>0.3015</v>
      </c>
      <c r="D66" s="57">
        <v>0.3021</v>
      </c>
      <c r="E66" s="57">
        <v>0.044</v>
      </c>
      <c r="F66" s="57">
        <v>0.077</v>
      </c>
      <c r="G66" s="58">
        <f t="shared" ref="G66:H66" si="172">E66*50</f>
        <v>2.2</v>
      </c>
      <c r="H66" s="58">
        <f t="shared" si="172"/>
        <v>3.85</v>
      </c>
      <c r="I66" s="59">
        <f t="shared" ref="I66:J66" si="173">(G66-0.0244)/0.1678</f>
        <v>12.96543504</v>
      </c>
      <c r="J66" s="59">
        <f t="shared" si="173"/>
        <v>22.79856973</v>
      </c>
      <c r="K66" s="59">
        <f t="shared" si="132"/>
        <v>17.88200238</v>
      </c>
      <c r="L66" s="59">
        <f t="shared" si="133"/>
        <v>6.953076215</v>
      </c>
      <c r="M66" s="59">
        <f t="shared" ref="M66:N66" si="174">(($S$4-I66)/$S$4)*100</f>
        <v>93.56818504</v>
      </c>
      <c r="N66" s="59">
        <f t="shared" si="174"/>
        <v>88.69022279</v>
      </c>
      <c r="O66" s="55">
        <f t="shared" si="135"/>
        <v>91.12920392</v>
      </c>
      <c r="P66" s="20">
        <f t="shared" si="136"/>
        <v>3.449240188</v>
      </c>
      <c r="Q66" s="20">
        <f t="shared" ref="Q66:R66" si="175">(($Q$3-I66)/C66)*0.0244</f>
        <v>-1.049275672</v>
      </c>
      <c r="R66" s="20">
        <f t="shared" si="175"/>
        <v>-1.841393914</v>
      </c>
      <c r="S66" s="20">
        <f t="shared" si="138"/>
        <v>-1.445334793</v>
      </c>
      <c r="T66" s="20">
        <f t="shared" si="139"/>
        <v>0.5601121804</v>
      </c>
    </row>
    <row r="67" ht="15.75" customHeight="1">
      <c r="B67" s="23">
        <v>360.0</v>
      </c>
      <c r="C67" s="43">
        <v>0.3015</v>
      </c>
      <c r="D67" s="9">
        <v>0.3021</v>
      </c>
      <c r="E67" s="9">
        <v>0.036</v>
      </c>
      <c r="F67" s="9">
        <v>0.071</v>
      </c>
      <c r="G67" s="11">
        <f t="shared" ref="G67:H67" si="176">E67*50</f>
        <v>1.8</v>
      </c>
      <c r="H67" s="11">
        <f t="shared" si="176"/>
        <v>3.55</v>
      </c>
      <c r="I67" s="20">
        <f t="shared" ref="I67:J67" si="177">(G67-0.0244)/0.1678</f>
        <v>10.58164482</v>
      </c>
      <c r="J67" s="20">
        <f t="shared" si="177"/>
        <v>21.01072706</v>
      </c>
      <c r="K67" s="20">
        <f t="shared" si="132"/>
        <v>15.79618594</v>
      </c>
      <c r="L67" s="20">
        <f t="shared" si="133"/>
        <v>7.374474774</v>
      </c>
      <c r="M67" s="20">
        <f t="shared" ref="M67:N67" si="178">(($S$4-I67)/$S$4)*100</f>
        <v>94.75072135</v>
      </c>
      <c r="N67" s="20">
        <f t="shared" si="178"/>
        <v>89.57712502</v>
      </c>
      <c r="O67" s="14">
        <f t="shared" si="135"/>
        <v>92.16392318</v>
      </c>
      <c r="P67" s="20">
        <f t="shared" si="136"/>
        <v>3.658285048</v>
      </c>
      <c r="Q67" s="20">
        <f t="shared" ref="Q67:R67" si="179">(($Q$3-I67)/C67)*0.0244</f>
        <v>-0.8563586517</v>
      </c>
      <c r="R67" s="20">
        <f t="shared" si="179"/>
        <v>-1.696993513</v>
      </c>
      <c r="S67" s="20">
        <f t="shared" si="138"/>
        <v>-1.276676082</v>
      </c>
      <c r="T67" s="20">
        <f t="shared" si="139"/>
        <v>0.5944186107</v>
      </c>
    </row>
    <row r="68" ht="15.75" customHeight="1">
      <c r="B68" s="23">
        <v>480.0</v>
      </c>
      <c r="C68" s="43">
        <v>0.3015</v>
      </c>
      <c r="D68" s="9">
        <v>0.3021</v>
      </c>
      <c r="E68" s="9">
        <v>0.034</v>
      </c>
      <c r="F68" s="9">
        <v>0.075</v>
      </c>
      <c r="G68" s="11">
        <f t="shared" ref="G68:H68" si="180">E68*50</f>
        <v>1.7</v>
      </c>
      <c r="H68" s="11">
        <f t="shared" si="180"/>
        <v>3.75</v>
      </c>
      <c r="I68" s="20">
        <f t="shared" ref="I68:J68" si="181">(G68-0.0244)/0.1678</f>
        <v>9.985697259</v>
      </c>
      <c r="J68" s="20">
        <f t="shared" si="181"/>
        <v>22.20262217</v>
      </c>
      <c r="K68" s="20">
        <f t="shared" si="132"/>
        <v>16.09415971</v>
      </c>
      <c r="L68" s="20">
        <f t="shared" si="133"/>
        <v>8.63867045</v>
      </c>
      <c r="M68" s="20">
        <f t="shared" ref="M68:N68" si="182">(($S$4-I68)/$S$4)*100</f>
        <v>95.04635542</v>
      </c>
      <c r="N68" s="20">
        <f t="shared" si="182"/>
        <v>88.98585687</v>
      </c>
      <c r="O68" s="14">
        <f t="shared" si="135"/>
        <v>92.01610614</v>
      </c>
      <c r="P68" s="20">
        <f t="shared" si="136"/>
        <v>4.285419627</v>
      </c>
      <c r="Q68" s="20">
        <f t="shared" ref="Q68:R68" si="183">(($Q$3-I68)/C68)*0.0244</f>
        <v>-0.8081293967</v>
      </c>
      <c r="R68" s="20">
        <f t="shared" si="183"/>
        <v>-1.793260447</v>
      </c>
      <c r="S68" s="20">
        <f t="shared" si="138"/>
        <v>-1.300694922</v>
      </c>
      <c r="T68" s="20">
        <f t="shared" si="139"/>
        <v>0.6965928458</v>
      </c>
    </row>
    <row r="69" ht="15.75" customHeight="1">
      <c r="B69" s="23">
        <v>1440.0</v>
      </c>
      <c r="C69" s="43">
        <v>0.3015</v>
      </c>
      <c r="D69" s="9">
        <v>0.3021</v>
      </c>
      <c r="E69" s="9">
        <v>0.048</v>
      </c>
      <c r="F69" s="20">
        <v>0.056</v>
      </c>
      <c r="G69" s="11">
        <f t="shared" ref="G69:H69" si="184">E69*50</f>
        <v>2.4</v>
      </c>
      <c r="H69" s="11">
        <f t="shared" si="184"/>
        <v>2.8</v>
      </c>
      <c r="I69" s="20">
        <f t="shared" ref="I69:J69" si="185">(G69-0.0244)/0.1678</f>
        <v>14.15733015</v>
      </c>
      <c r="J69" s="20">
        <f t="shared" si="185"/>
        <v>16.54112038</v>
      </c>
      <c r="K69" s="20">
        <f t="shared" si="132"/>
        <v>15.34922527</v>
      </c>
      <c r="L69" s="20">
        <f t="shared" si="133"/>
        <v>1.685594234</v>
      </c>
      <c r="M69" s="20">
        <f t="shared" ref="M69:N69" si="186">(($S$4-I69)/$S$4)*100</f>
        <v>92.97691689</v>
      </c>
      <c r="N69" s="20">
        <f t="shared" si="186"/>
        <v>91.79438059</v>
      </c>
      <c r="O69" s="14">
        <f t="shared" si="135"/>
        <v>92.38564874</v>
      </c>
      <c r="P69" s="20">
        <f t="shared" si="136"/>
        <v>0.8361794395</v>
      </c>
      <c r="Q69" s="20">
        <f t="shared" ref="Q69:R69" si="187">(($Q$3-I69)/C69)*0.0244</f>
        <v>-1.145734182</v>
      </c>
      <c r="R69" s="20">
        <f t="shared" si="187"/>
        <v>-1.33599251</v>
      </c>
      <c r="S69" s="20">
        <f t="shared" si="138"/>
        <v>-1.240863346</v>
      </c>
      <c r="T69" s="20">
        <f t="shared" si="139"/>
        <v>0.1345329542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M10:N10"/>
    <mergeCell ref="Q10:R10"/>
    <mergeCell ref="P3:Q3"/>
    <mergeCell ref="P4:Q4"/>
    <mergeCell ref="C6:D6"/>
    <mergeCell ref="M7:N7"/>
    <mergeCell ref="B8:D8"/>
    <mergeCell ref="C10:D10"/>
    <mergeCell ref="E10:F10"/>
    <mergeCell ref="M32:N32"/>
    <mergeCell ref="Q32:R32"/>
    <mergeCell ref="B52:D52"/>
    <mergeCell ref="C54:D54"/>
    <mergeCell ref="E54:F54"/>
    <mergeCell ref="G54:H54"/>
    <mergeCell ref="I54:J54"/>
    <mergeCell ref="M54:N54"/>
    <mergeCell ref="Q54:R54"/>
    <mergeCell ref="G10:H10"/>
    <mergeCell ref="I10:J10"/>
    <mergeCell ref="B30:D30"/>
    <mergeCell ref="C32:D32"/>
    <mergeCell ref="E32:F32"/>
    <mergeCell ref="G32:H32"/>
    <mergeCell ref="I32:J32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26" width="8.71"/>
  </cols>
  <sheetData>
    <row r="2">
      <c r="B2" s="202" t="s">
        <v>235</v>
      </c>
      <c r="C2" s="8"/>
    </row>
    <row r="4">
      <c r="B4" s="204" t="s">
        <v>34</v>
      </c>
      <c r="C4" s="204" t="s">
        <v>236</v>
      </c>
      <c r="D4" s="206" t="s">
        <v>237</v>
      </c>
    </row>
    <row r="5">
      <c r="B5" s="23">
        <v>0.0</v>
      </c>
      <c r="C5" s="34">
        <v>0.0</v>
      </c>
      <c r="D5" s="34">
        <v>0.0</v>
      </c>
    </row>
    <row r="6">
      <c r="B6" s="23">
        <v>1.0</v>
      </c>
      <c r="C6" s="34">
        <v>4.064968544534315</v>
      </c>
      <c r="D6" s="34">
        <v>2.5128896457121224</v>
      </c>
    </row>
    <row r="7">
      <c r="B7" s="23">
        <v>5.0</v>
      </c>
      <c r="C7" s="34">
        <v>24.31590274821437</v>
      </c>
      <c r="D7" s="34">
        <v>23.724634596282108</v>
      </c>
    </row>
    <row r="8">
      <c r="B8" s="23">
        <v>10.0</v>
      </c>
      <c r="C8" s="34">
        <v>36.4368998628258</v>
      </c>
      <c r="D8" s="34">
        <v>55.06184664869212</v>
      </c>
    </row>
    <row r="9">
      <c r="B9" s="23">
        <v>30.0</v>
      </c>
      <c r="C9" s="34">
        <v>62.89614966179462</v>
      </c>
      <c r="D9" s="34">
        <v>78.78648124497421</v>
      </c>
    </row>
    <row r="10">
      <c r="B10" s="23">
        <v>60.0</v>
      </c>
      <c r="C10" s="34">
        <v>79.5994749538811</v>
      </c>
      <c r="D10" s="34">
        <v>91.12920391656024</v>
      </c>
      <c r="O10" s="1" t="s">
        <v>238</v>
      </c>
    </row>
    <row r="11">
      <c r="B11" s="23">
        <v>90.0</v>
      </c>
      <c r="C11" s="34">
        <v>85.8816990681614</v>
      </c>
      <c r="D11" s="34">
        <v>93.78991060025542</v>
      </c>
    </row>
    <row r="12">
      <c r="B12" s="23">
        <v>120.0</v>
      </c>
      <c r="C12" s="34">
        <v>89.42930797975498</v>
      </c>
      <c r="D12" s="34">
        <v>96.08107468899296</v>
      </c>
    </row>
    <row r="13">
      <c r="B13" s="23">
        <v>180.0</v>
      </c>
      <c r="C13" s="34">
        <v>93.27255096731469</v>
      </c>
      <c r="D13" s="34">
        <v>94.97244690411995</v>
      </c>
    </row>
    <row r="14">
      <c r="B14" s="23">
        <v>240.0</v>
      </c>
      <c r="C14" s="34">
        <v>94.45508727117922</v>
      </c>
      <c r="D14" s="34">
        <v>97.41142803084054</v>
      </c>
    </row>
    <row r="15">
      <c r="B15" s="23">
        <v>300.0</v>
      </c>
      <c r="C15" s="34">
        <v>95.34198949907761</v>
      </c>
      <c r="D15" s="34">
        <v>97.78097062579822</v>
      </c>
    </row>
    <row r="16">
      <c r="B16" s="23">
        <v>360.0</v>
      </c>
      <c r="C16" s="34">
        <v>95.63762357504376</v>
      </c>
      <c r="D16" s="34">
        <v>97.26361099285748</v>
      </c>
    </row>
    <row r="17">
      <c r="B17" s="23">
        <v>480.0</v>
      </c>
      <c r="C17" s="34">
        <v>95.9332576510099</v>
      </c>
      <c r="D17" s="34">
        <v>97.63315358781514</v>
      </c>
    </row>
    <row r="18">
      <c r="B18" s="23">
        <v>1440.0</v>
      </c>
      <c r="C18" s="34">
        <v>95.78544061302682</v>
      </c>
      <c r="D18" s="34">
        <v>97.78097062579822</v>
      </c>
    </row>
    <row r="21" ht="15.75" customHeight="1"/>
    <row r="22" ht="15.75" customHeight="1">
      <c r="B22" s="202" t="s">
        <v>239</v>
      </c>
      <c r="C22" s="8"/>
    </row>
    <row r="23" ht="15.75" customHeight="1"/>
    <row r="24" ht="15.75" customHeight="1">
      <c r="B24" s="204" t="s">
        <v>34</v>
      </c>
      <c r="C24" s="204" t="s">
        <v>236</v>
      </c>
      <c r="D24" s="206" t="s">
        <v>237</v>
      </c>
    </row>
    <row r="25" ht="15.75" customHeight="1">
      <c r="B25" s="23">
        <v>0.0</v>
      </c>
      <c r="C25" s="140">
        <v>0.0</v>
      </c>
      <c r="D25" s="140">
        <v>0.0</v>
      </c>
    </row>
    <row r="26" ht="15.75" customHeight="1">
      <c r="B26" s="23">
        <v>1.0</v>
      </c>
      <c r="C26" s="140">
        <v>7.908211532094037</v>
      </c>
      <c r="D26" s="140">
        <v>-0.8129937089068644</v>
      </c>
    </row>
    <row r="27" ht="15.75" customHeight="1">
      <c r="B27" s="23">
        <v>5.0</v>
      </c>
      <c r="C27" s="140">
        <v>17.885861595951</v>
      </c>
      <c r="D27" s="140">
        <v>0.5173596329407192</v>
      </c>
    </row>
    <row r="28" ht="15.75" customHeight="1">
      <c r="B28" s="23">
        <v>10.0</v>
      </c>
      <c r="C28" s="140">
        <v>13.82089305141669</v>
      </c>
      <c r="D28" s="140">
        <v>8.42557116503477</v>
      </c>
    </row>
    <row r="29" ht="15.75" customHeight="1">
      <c r="B29" s="23">
        <v>30.0</v>
      </c>
      <c r="C29" s="140">
        <v>21.65519606451918</v>
      </c>
      <c r="D29" s="140">
        <v>27.420060545858753</v>
      </c>
    </row>
    <row r="30" ht="15.75" customHeight="1">
      <c r="B30" s="23">
        <v>60.0</v>
      </c>
      <c r="C30" s="140">
        <v>37.10207653374959</v>
      </c>
      <c r="D30" s="140">
        <v>49.51870772432713</v>
      </c>
    </row>
    <row r="31" ht="15.75" customHeight="1">
      <c r="B31" s="23">
        <v>90.0</v>
      </c>
      <c r="C31" s="140">
        <v>49.370890686344076</v>
      </c>
      <c r="D31" s="140">
        <v>56.170474433565104</v>
      </c>
      <c r="O31" s="1" t="s">
        <v>240</v>
      </c>
    </row>
    <row r="32" ht="15.75" customHeight="1">
      <c r="B32" s="23">
        <v>120.0</v>
      </c>
      <c r="C32" s="140">
        <v>55.0</v>
      </c>
      <c r="D32" s="140">
        <v>56.61392554751431</v>
      </c>
    </row>
    <row r="33" ht="15.75" customHeight="1">
      <c r="B33" s="23">
        <v>180.0</v>
      </c>
      <c r="C33" s="140">
        <v>58.0</v>
      </c>
      <c r="D33" s="140">
        <v>77.30831086514357</v>
      </c>
    </row>
    <row r="34" ht="15.75" customHeight="1">
      <c r="B34" s="23">
        <v>240.0</v>
      </c>
      <c r="C34" s="140">
        <v>66.96111820632893</v>
      </c>
      <c r="D34" s="140">
        <v>83.81226053639847</v>
      </c>
    </row>
    <row r="35" ht="15.75" customHeight="1">
      <c r="B35" s="23">
        <v>300.0</v>
      </c>
      <c r="C35" s="140">
        <v>70.43481859893099</v>
      </c>
      <c r="D35" s="140">
        <v>87.80332056194125</v>
      </c>
    </row>
    <row r="36" ht="15.75" customHeight="1">
      <c r="B36" s="23">
        <v>360.0</v>
      </c>
      <c r="C36" s="140">
        <v>70.28700156094793</v>
      </c>
      <c r="D36" s="140">
        <v>91.42483799252636</v>
      </c>
    </row>
    <row r="37" ht="15.75" customHeight="1">
      <c r="B37" s="23">
        <v>480.0</v>
      </c>
      <c r="C37" s="140">
        <v>70.21309304195638</v>
      </c>
      <c r="D37" s="140">
        <v>93.0508254103401</v>
      </c>
    </row>
    <row r="38" ht="15.75" customHeight="1">
      <c r="B38" s="23">
        <v>1440.0</v>
      </c>
      <c r="C38" s="140">
        <v>76.49531715623671</v>
      </c>
      <c r="D38" s="140">
        <v>95.41589801806916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B45" s="208" t="s">
        <v>241</v>
      </c>
      <c r="C45" s="8"/>
    </row>
    <row r="46" ht="15.75" customHeight="1"/>
    <row r="47" ht="15.75" customHeight="1">
      <c r="B47" s="204" t="s">
        <v>34</v>
      </c>
      <c r="C47" s="204" t="s">
        <v>192</v>
      </c>
      <c r="D47" s="206" t="s">
        <v>54</v>
      </c>
    </row>
    <row r="48" ht="15.75" customHeight="1">
      <c r="B48" s="23">
        <v>0.0</v>
      </c>
      <c r="C48" s="140">
        <v>0.0</v>
      </c>
      <c r="D48" s="140">
        <v>0.0</v>
      </c>
    </row>
    <row r="49" ht="15.75" customHeight="1">
      <c r="B49" s="23">
        <v>1.0</v>
      </c>
      <c r="C49" s="140">
        <v>1.2564448228560614</v>
      </c>
      <c r="D49" s="140">
        <v>0.5173596329407473</v>
      </c>
    </row>
    <row r="50" ht="15.75" customHeight="1">
      <c r="B50" s="23">
        <v>5.0</v>
      </c>
      <c r="C50" s="140">
        <v>0.5912681519322625</v>
      </c>
      <c r="D50" s="140">
        <v>21.72910458351071</v>
      </c>
    </row>
    <row r="51" ht="15.75" customHeight="1">
      <c r="B51" s="23">
        <v>10.0</v>
      </c>
      <c r="C51" s="140">
        <v>3.7693344685681844</v>
      </c>
      <c r="D51" s="140">
        <v>27.863511659807955</v>
      </c>
    </row>
    <row r="52" ht="15.75" customHeight="1">
      <c r="B52" s="23">
        <v>30.0</v>
      </c>
      <c r="C52" s="140">
        <v>9.829833025873896</v>
      </c>
      <c r="D52" s="140">
        <v>43.6060262050045</v>
      </c>
    </row>
    <row r="53" ht="15.75" customHeight="1">
      <c r="B53" s="23">
        <v>60.0</v>
      </c>
      <c r="C53" s="140">
        <v>17.885861595950992</v>
      </c>
      <c r="D53" s="140">
        <v>64.96558819355754</v>
      </c>
      <c r="O53" s="1" t="s">
        <v>240</v>
      </c>
    </row>
    <row r="54" ht="15.75" customHeight="1">
      <c r="B54" s="23">
        <v>90.0</v>
      </c>
      <c r="C54" s="140">
        <v>29.341682039638616</v>
      </c>
      <c r="D54" s="140">
        <v>74.35197010548225</v>
      </c>
    </row>
    <row r="55" ht="15.75" customHeight="1">
      <c r="B55" s="23">
        <v>120.0</v>
      </c>
      <c r="C55" s="140">
        <v>44.0</v>
      </c>
      <c r="D55" s="140">
        <v>79.45165791589801</v>
      </c>
    </row>
    <row r="56" ht="15.75" customHeight="1">
      <c r="B56" s="23">
        <v>180.0</v>
      </c>
      <c r="C56" s="140">
        <v>52.0</v>
      </c>
      <c r="D56" s="140">
        <v>86.25124166311906</v>
      </c>
    </row>
    <row r="57" ht="15.75" customHeight="1">
      <c r="B57" s="23">
        <v>240.0</v>
      </c>
      <c r="C57" s="140">
        <v>56.24438295255665</v>
      </c>
      <c r="D57" s="140">
        <v>89.9466676126957</v>
      </c>
    </row>
    <row r="58" ht="15.75" customHeight="1">
      <c r="B58" s="23">
        <v>300.0</v>
      </c>
      <c r="C58" s="140">
        <v>62.45269854784543</v>
      </c>
      <c r="D58" s="140">
        <v>91.12920391656024</v>
      </c>
    </row>
    <row r="59" ht="15.75" customHeight="1">
      <c r="B59" s="23">
        <v>360.0</v>
      </c>
      <c r="C59" s="140">
        <v>65.5568563454898</v>
      </c>
      <c r="D59" s="140">
        <v>92.16392318244169</v>
      </c>
    </row>
    <row r="60" ht="15.75" customHeight="1">
      <c r="B60" s="23">
        <v>480.0</v>
      </c>
      <c r="C60" s="140">
        <v>67.7741119152358</v>
      </c>
      <c r="D60" s="140">
        <v>92.01610614445863</v>
      </c>
    </row>
    <row r="61" ht="15.75" customHeight="1">
      <c r="B61" s="23">
        <v>1440.0</v>
      </c>
      <c r="C61" s="140">
        <v>80.41246866278794</v>
      </c>
      <c r="D61" s="140">
        <v>92.3856487394163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22:C22"/>
    <mergeCell ref="B45:C45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1.0"/>
    <col customWidth="1" min="4" max="13" width="8.71"/>
    <col customWidth="1" min="14" max="14" width="9.86"/>
    <col customWidth="1" min="15" max="15" width="10.29"/>
    <col customWidth="1" min="16" max="16" width="9.71"/>
    <col customWidth="1" min="17" max="17" width="9.29"/>
    <col customWidth="1" min="18" max="18" width="9.14"/>
    <col customWidth="1" min="19" max="26" width="8.71"/>
  </cols>
  <sheetData>
    <row r="1">
      <c r="D1" s="10"/>
      <c r="E1" s="10"/>
      <c r="N1" s="10"/>
    </row>
    <row r="2">
      <c r="D2" s="10"/>
      <c r="E2" s="10"/>
      <c r="N2" s="9"/>
      <c r="O2" s="15" t="s">
        <v>0</v>
      </c>
      <c r="P2" s="15" t="s">
        <v>25</v>
      </c>
      <c r="Q2" s="29" t="s">
        <v>32</v>
      </c>
      <c r="R2" s="29" t="s">
        <v>27</v>
      </c>
    </row>
    <row r="3">
      <c r="D3" s="10"/>
      <c r="E3" s="10"/>
      <c r="N3" s="9" t="s">
        <v>35</v>
      </c>
      <c r="O3" s="23">
        <v>0.194</v>
      </c>
      <c r="P3" s="23">
        <f>0.194*50</f>
        <v>9.7</v>
      </c>
      <c r="Q3" s="23">
        <v>50.0</v>
      </c>
      <c r="R3" s="34">
        <f t="shared" ref="R3:R10" si="1">(P3-0.0244)/0.1678</f>
        <v>57.66150179</v>
      </c>
    </row>
    <row r="4">
      <c r="D4" s="10"/>
      <c r="E4" s="10"/>
      <c r="N4" s="9">
        <v>2.0</v>
      </c>
      <c r="O4" s="23">
        <f>0.398</f>
        <v>0.398</v>
      </c>
      <c r="P4" s="23">
        <f>0.398*50</f>
        <v>19.9</v>
      </c>
      <c r="Q4" s="23">
        <v>100.0</v>
      </c>
      <c r="R4" s="34">
        <f t="shared" si="1"/>
        <v>118.4481526</v>
      </c>
    </row>
    <row r="5">
      <c r="B5" s="35" t="s">
        <v>39</v>
      </c>
      <c r="C5" s="231" t="s">
        <v>40</v>
      </c>
      <c r="D5" s="233" t="s">
        <v>0</v>
      </c>
      <c r="E5" s="234"/>
      <c r="N5" s="9">
        <v>20.0</v>
      </c>
      <c r="O5" s="23">
        <v>3.353</v>
      </c>
      <c r="P5" s="23">
        <f>3.353*50</f>
        <v>167.65</v>
      </c>
      <c r="Q5" s="23">
        <v>1000.0</v>
      </c>
      <c r="R5" s="34">
        <f t="shared" si="1"/>
        <v>998.9606675</v>
      </c>
    </row>
    <row r="6">
      <c r="B6" s="236" t="s">
        <v>41</v>
      </c>
      <c r="C6" s="239" t="s">
        <v>282</v>
      </c>
      <c r="D6" s="241">
        <v>1.0</v>
      </c>
      <c r="E6" s="243">
        <v>2.0</v>
      </c>
      <c r="N6" s="9" t="s">
        <v>44</v>
      </c>
      <c r="O6" s="23">
        <v>0.788</v>
      </c>
      <c r="P6" s="23">
        <f>0.788*50</f>
        <v>39.4</v>
      </c>
      <c r="Q6" s="23">
        <v>200.0</v>
      </c>
      <c r="R6" s="34">
        <f t="shared" si="1"/>
        <v>234.6579261</v>
      </c>
    </row>
    <row r="7">
      <c r="B7" s="245">
        <v>0.5</v>
      </c>
      <c r="C7" s="246">
        <f t="shared" ref="C7:C11" si="2">AVERAGE(D7:E7)</f>
        <v>0.0505</v>
      </c>
      <c r="D7" s="248">
        <v>0.0522</v>
      </c>
      <c r="E7" s="249">
        <v>0.0488</v>
      </c>
      <c r="N7" s="9" t="s">
        <v>45</v>
      </c>
      <c r="O7" s="23">
        <v>0.648</v>
      </c>
      <c r="P7" s="23">
        <f>0.648*50</f>
        <v>32.4</v>
      </c>
      <c r="Q7" s="23">
        <v>200.0</v>
      </c>
      <c r="R7" s="34">
        <f t="shared" si="1"/>
        <v>192.9415971</v>
      </c>
    </row>
    <row r="8">
      <c r="B8" s="250">
        <v>1.0</v>
      </c>
      <c r="C8" s="246">
        <f t="shared" si="2"/>
        <v>0.0774</v>
      </c>
      <c r="D8" s="9">
        <v>0.0842</v>
      </c>
      <c r="E8" s="251">
        <v>0.0706</v>
      </c>
      <c r="N8" s="9" t="s">
        <v>46</v>
      </c>
      <c r="O8" s="23">
        <v>0.38</v>
      </c>
      <c r="P8" s="23">
        <f>0.38*50</f>
        <v>19</v>
      </c>
      <c r="Q8" s="23">
        <v>200.0</v>
      </c>
      <c r="R8" s="34">
        <f t="shared" si="1"/>
        <v>113.0846246</v>
      </c>
    </row>
    <row r="9">
      <c r="B9" s="250">
        <v>2.0</v>
      </c>
      <c r="C9" s="252">
        <f t="shared" si="2"/>
        <v>0.19295</v>
      </c>
      <c r="D9" s="9">
        <v>0.2168</v>
      </c>
      <c r="E9" s="251">
        <v>0.1691</v>
      </c>
      <c r="N9" s="9" t="s">
        <v>47</v>
      </c>
      <c r="O9" s="23">
        <v>0.677</v>
      </c>
      <c r="P9" s="23">
        <f t="shared" ref="P9:P10" si="3">O9*50</f>
        <v>33.85</v>
      </c>
      <c r="Q9" s="23">
        <v>200.0</v>
      </c>
      <c r="R9" s="34">
        <f t="shared" si="1"/>
        <v>201.5828367</v>
      </c>
    </row>
    <row r="10">
      <c r="B10" s="250">
        <v>5.0</v>
      </c>
      <c r="C10" s="246">
        <f t="shared" si="2"/>
        <v>0.46375</v>
      </c>
      <c r="D10" s="9">
        <v>0.5073</v>
      </c>
      <c r="E10" s="251">
        <v>0.4202</v>
      </c>
      <c r="N10" s="9" t="s">
        <v>48</v>
      </c>
      <c r="O10" s="23">
        <v>0.811</v>
      </c>
      <c r="P10" s="23">
        <f t="shared" si="3"/>
        <v>40.55</v>
      </c>
      <c r="Q10" s="23">
        <v>200.0</v>
      </c>
      <c r="R10" s="34">
        <f t="shared" si="1"/>
        <v>241.511323</v>
      </c>
    </row>
    <row r="11">
      <c r="B11" s="250">
        <v>10.0</v>
      </c>
      <c r="C11" s="246">
        <f t="shared" si="2"/>
        <v>0.6768</v>
      </c>
      <c r="D11" s="9">
        <v>0.7811</v>
      </c>
      <c r="E11" s="251">
        <v>0.5725</v>
      </c>
      <c r="N11" s="10"/>
    </row>
    <row r="12">
      <c r="B12" s="253">
        <v>20.0</v>
      </c>
      <c r="C12" s="254"/>
      <c r="D12" s="255"/>
      <c r="E12" s="256"/>
      <c r="N12" s="10"/>
    </row>
    <row r="13">
      <c r="D13" s="10"/>
      <c r="E13" s="10"/>
      <c r="N13" s="10"/>
    </row>
    <row r="14">
      <c r="D14" s="10"/>
      <c r="E14" s="10"/>
      <c r="N14" s="10"/>
    </row>
    <row r="15">
      <c r="D15" s="10"/>
      <c r="E15" s="10"/>
      <c r="N15" s="10"/>
    </row>
    <row r="16">
      <c r="B16" s="31" t="s">
        <v>39</v>
      </c>
      <c r="C16" s="31" t="s">
        <v>40</v>
      </c>
      <c r="D16" s="257" t="s">
        <v>0</v>
      </c>
      <c r="E16" s="8"/>
      <c r="N16" s="10"/>
    </row>
    <row r="17">
      <c r="B17" s="31" t="s">
        <v>41</v>
      </c>
      <c r="C17" s="31" t="s">
        <v>282</v>
      </c>
      <c r="D17" s="31">
        <v>1.0</v>
      </c>
      <c r="E17" s="31">
        <v>2.0</v>
      </c>
      <c r="N17" s="10"/>
    </row>
    <row r="18">
      <c r="B18" s="9">
        <v>0.5</v>
      </c>
      <c r="C18" s="43">
        <f t="shared" ref="C18:C22" si="4">AVERAGE(D18:E18)</f>
        <v>0.0533</v>
      </c>
      <c r="D18" s="43">
        <v>0.059</v>
      </c>
      <c r="E18" s="9">
        <v>0.0476</v>
      </c>
      <c r="N18" s="10"/>
    </row>
    <row r="19">
      <c r="B19" s="9">
        <v>1.0</v>
      </c>
      <c r="C19" s="43">
        <f t="shared" si="4"/>
        <v>0.1107</v>
      </c>
      <c r="D19" s="9">
        <v>0.1185</v>
      </c>
      <c r="E19" s="9">
        <v>0.1029</v>
      </c>
      <c r="N19" s="10"/>
    </row>
    <row r="20">
      <c r="B20" s="9">
        <v>2.0</v>
      </c>
      <c r="C20" s="43">
        <f t="shared" si="4"/>
        <v>0.2189</v>
      </c>
      <c r="D20" s="9">
        <v>0.2109</v>
      </c>
      <c r="E20" s="9">
        <v>0.2269</v>
      </c>
      <c r="N20" s="10"/>
    </row>
    <row r="21" ht="15.75" customHeight="1">
      <c r="B21" s="9">
        <v>5.0</v>
      </c>
      <c r="C21" s="43">
        <f t="shared" si="4"/>
        <v>0.46505</v>
      </c>
      <c r="D21" s="9">
        <v>0.4249</v>
      </c>
      <c r="E21" s="9">
        <v>0.5052</v>
      </c>
      <c r="N21" s="10"/>
    </row>
    <row r="22" ht="15.75" customHeight="1">
      <c r="B22" s="9">
        <v>10.0</v>
      </c>
      <c r="C22" s="43">
        <f t="shared" si="4"/>
        <v>0.77325</v>
      </c>
      <c r="D22" s="43">
        <v>0.761</v>
      </c>
      <c r="E22" s="9">
        <v>0.7855</v>
      </c>
      <c r="N22" s="10"/>
    </row>
    <row r="23" ht="15.75" customHeight="1">
      <c r="B23" s="9">
        <v>0.1</v>
      </c>
      <c r="C23" s="43">
        <v>0.0084</v>
      </c>
      <c r="D23" s="9"/>
      <c r="E23" s="9"/>
      <c r="N23" s="10"/>
    </row>
    <row r="24" ht="15.75" customHeight="1">
      <c r="B24" s="9"/>
      <c r="C24" s="23"/>
      <c r="D24" s="9"/>
      <c r="E24" s="9"/>
      <c r="N24" s="10"/>
    </row>
    <row r="25" ht="15.75" customHeight="1">
      <c r="B25" s="9"/>
      <c r="C25" s="23"/>
      <c r="D25" s="9"/>
      <c r="E25" s="9"/>
      <c r="N25" s="10"/>
    </row>
    <row r="26" ht="15.75" customHeight="1">
      <c r="D26" s="10"/>
      <c r="E26" s="10"/>
      <c r="N26" s="10"/>
    </row>
    <row r="27" ht="15.75" customHeight="1">
      <c r="D27" s="10"/>
      <c r="E27" s="10"/>
      <c r="N27" s="10"/>
    </row>
    <row r="28" ht="15.75" customHeight="1">
      <c r="D28" s="10"/>
      <c r="E28" s="10"/>
      <c r="N28" s="10"/>
    </row>
    <row r="29" ht="15.75" customHeight="1">
      <c r="B29" s="31" t="s">
        <v>39</v>
      </c>
      <c r="C29" s="31" t="s">
        <v>40</v>
      </c>
      <c r="D29" s="257" t="s">
        <v>0</v>
      </c>
      <c r="E29" s="8"/>
      <c r="N29" s="10"/>
    </row>
    <row r="30" ht="15.75" customHeight="1">
      <c r="B30" s="31" t="s">
        <v>41</v>
      </c>
      <c r="C30" s="31" t="s">
        <v>282</v>
      </c>
      <c r="D30" s="31">
        <v>1.0</v>
      </c>
      <c r="E30" s="31">
        <v>2.0</v>
      </c>
      <c r="N30" s="10"/>
    </row>
    <row r="31" ht="15.75" customHeight="1">
      <c r="B31" s="9">
        <v>0.5</v>
      </c>
      <c r="C31" s="43">
        <v>0.059</v>
      </c>
      <c r="D31" s="261">
        <v>0.059</v>
      </c>
      <c r="E31" s="9">
        <v>0.0476</v>
      </c>
      <c r="N31" s="5" t="s">
        <v>288</v>
      </c>
    </row>
    <row r="32" ht="15.75" customHeight="1">
      <c r="B32" s="9">
        <v>1.0</v>
      </c>
      <c r="C32" s="261">
        <f>AVERAGE(D32:E32)</f>
        <v>0.1107</v>
      </c>
      <c r="D32" s="9">
        <v>0.1185</v>
      </c>
      <c r="E32" s="9">
        <v>0.1029</v>
      </c>
      <c r="N32" s="10"/>
    </row>
    <row r="33" ht="15.75" customHeight="1">
      <c r="B33" s="9">
        <v>2.0</v>
      </c>
      <c r="C33" s="43">
        <v>0.193</v>
      </c>
      <c r="D33" s="9">
        <v>0.2109</v>
      </c>
      <c r="E33" s="9">
        <v>0.2269</v>
      </c>
      <c r="N33" s="10"/>
    </row>
    <row r="34" ht="15.75" customHeight="1">
      <c r="B34" s="9">
        <v>5.0</v>
      </c>
      <c r="C34" s="43">
        <v>0.4249</v>
      </c>
      <c r="D34" s="262">
        <v>0.4249</v>
      </c>
      <c r="E34" s="9">
        <v>0.5052</v>
      </c>
      <c r="N34" s="10"/>
    </row>
    <row r="35" ht="15.75" customHeight="1">
      <c r="B35" s="9">
        <v>10.0</v>
      </c>
      <c r="C35" s="43">
        <v>0.7855</v>
      </c>
      <c r="D35" s="43">
        <v>0.761</v>
      </c>
      <c r="E35" s="262">
        <v>0.7855</v>
      </c>
      <c r="N35" s="10"/>
    </row>
    <row r="36" ht="15.75" customHeight="1">
      <c r="B36" s="9">
        <v>0.1</v>
      </c>
      <c r="C36" s="43">
        <v>0.0084</v>
      </c>
      <c r="D36" s="9"/>
      <c r="E36" s="9"/>
      <c r="N36" s="10"/>
    </row>
    <row r="37" ht="15.75" customHeight="1">
      <c r="B37" s="9"/>
      <c r="C37" s="23"/>
      <c r="D37" s="9"/>
      <c r="E37" s="9"/>
      <c r="N37" s="10"/>
    </row>
    <row r="38" ht="15.75" customHeight="1">
      <c r="B38" s="9"/>
      <c r="C38" s="23"/>
      <c r="D38" s="9"/>
      <c r="E38" s="9"/>
      <c r="N38" s="10"/>
    </row>
    <row r="39" ht="15.75" customHeight="1">
      <c r="D39" s="10"/>
      <c r="E39" s="10"/>
      <c r="N39" s="10"/>
    </row>
    <row r="40" ht="15.75" customHeight="1">
      <c r="D40" s="10"/>
      <c r="E40" s="10"/>
      <c r="N40" s="10"/>
    </row>
    <row r="41" ht="15.75" customHeight="1">
      <c r="D41" s="10"/>
      <c r="E41" s="10"/>
      <c r="N41" s="10"/>
    </row>
    <row r="42" ht="15.75" customHeight="1">
      <c r="N42" s="10"/>
    </row>
    <row r="43" ht="15.75" customHeight="1">
      <c r="N43" s="10"/>
    </row>
    <row r="44" ht="15.75" customHeight="1">
      <c r="N44" s="10"/>
    </row>
    <row r="45" ht="15.75" customHeight="1">
      <c r="N45" s="10"/>
    </row>
    <row r="46" ht="15.75" customHeight="1">
      <c r="N46" s="10"/>
    </row>
    <row r="47" ht="15.75" customHeight="1">
      <c r="N47" s="10"/>
    </row>
    <row r="48" ht="15.75" customHeight="1">
      <c r="N48" s="10"/>
    </row>
    <row r="49" ht="15.75" customHeight="1">
      <c r="N49" s="10"/>
    </row>
    <row r="50" ht="15.75" customHeight="1">
      <c r="N50" s="10"/>
    </row>
    <row r="51" ht="15.75" customHeight="1">
      <c r="N51" s="10"/>
    </row>
    <row r="52" ht="15.75" customHeight="1">
      <c r="N52" s="10"/>
    </row>
    <row r="53" ht="15.75" customHeight="1">
      <c r="N53" s="10"/>
    </row>
    <row r="54" ht="15.75" customHeight="1">
      <c r="N54" s="10"/>
    </row>
    <row r="55" ht="15.75" customHeight="1">
      <c r="N55" s="10"/>
    </row>
    <row r="56" ht="15.75" customHeight="1">
      <c r="N56" s="10"/>
    </row>
    <row r="57" ht="15.75" customHeight="1">
      <c r="N57" s="10"/>
    </row>
    <row r="58" ht="15.75" customHeight="1">
      <c r="N58" s="10"/>
    </row>
    <row r="59" ht="15.75" customHeight="1">
      <c r="N59" s="10"/>
    </row>
    <row r="60" ht="15.75" customHeight="1">
      <c r="N60" s="10"/>
    </row>
    <row r="61" ht="15.75" customHeight="1">
      <c r="N61" s="10"/>
    </row>
    <row r="62" ht="15.75" customHeight="1">
      <c r="N62" s="10"/>
    </row>
    <row r="63" ht="15.75" customHeight="1">
      <c r="N63" s="10"/>
    </row>
    <row r="64" ht="15.75" customHeight="1">
      <c r="N64" s="10"/>
    </row>
    <row r="65" ht="15.75" customHeight="1">
      <c r="N65" s="10"/>
    </row>
    <row r="66" ht="15.75" customHeight="1">
      <c r="N66" s="10"/>
    </row>
    <row r="67" ht="15.75" customHeight="1">
      <c r="N67" s="10"/>
    </row>
    <row r="68" ht="15.75" customHeight="1">
      <c r="N68" s="10"/>
    </row>
    <row r="69" ht="15.75" customHeight="1">
      <c r="N69" s="10"/>
    </row>
    <row r="70" ht="15.75" customHeight="1">
      <c r="N70" s="10"/>
    </row>
    <row r="71" ht="15.75" customHeight="1">
      <c r="N71" s="10"/>
    </row>
    <row r="72" ht="15.75" customHeight="1">
      <c r="N72" s="10"/>
    </row>
    <row r="73" ht="15.75" customHeight="1">
      <c r="N73" s="10"/>
    </row>
    <row r="74" ht="15.75" customHeight="1">
      <c r="N74" s="10"/>
    </row>
    <row r="75" ht="15.75" customHeight="1">
      <c r="N75" s="10"/>
    </row>
    <row r="76" ht="15.75" customHeight="1">
      <c r="N76" s="10"/>
    </row>
    <row r="77" ht="15.75" customHeight="1">
      <c r="N77" s="10"/>
    </row>
    <row r="78" ht="15.75" customHeight="1">
      <c r="N78" s="10"/>
    </row>
    <row r="79" ht="15.75" customHeight="1">
      <c r="N79" s="10"/>
    </row>
    <row r="80" ht="15.75" customHeight="1">
      <c r="N80" s="10"/>
    </row>
    <row r="81" ht="15.75" customHeight="1">
      <c r="N81" s="10"/>
    </row>
    <row r="82" ht="15.75" customHeight="1">
      <c r="N82" s="10"/>
    </row>
    <row r="83" ht="15.75" customHeight="1">
      <c r="N83" s="10"/>
    </row>
    <row r="84" ht="15.75" customHeight="1">
      <c r="N84" s="10"/>
    </row>
    <row r="85" ht="15.75" customHeight="1">
      <c r="N85" s="10"/>
    </row>
    <row r="86" ht="15.75" customHeight="1">
      <c r="N86" s="10"/>
    </row>
    <row r="87" ht="15.75" customHeight="1">
      <c r="N87" s="10"/>
    </row>
    <row r="88" ht="15.75" customHeight="1">
      <c r="N88" s="10"/>
    </row>
    <row r="89" ht="15.75" customHeight="1">
      <c r="N89" s="10"/>
    </row>
    <row r="90" ht="15.75" customHeight="1">
      <c r="N90" s="10"/>
    </row>
    <row r="91" ht="15.75" customHeight="1">
      <c r="N91" s="10"/>
    </row>
    <row r="92" ht="15.75" customHeight="1">
      <c r="N92" s="10"/>
    </row>
    <row r="93" ht="15.75" customHeight="1">
      <c r="N93" s="10"/>
    </row>
    <row r="94" ht="15.75" customHeight="1">
      <c r="N94" s="10"/>
    </row>
    <row r="95" ht="15.75" customHeight="1">
      <c r="N95" s="10"/>
    </row>
    <row r="96" ht="15.75" customHeight="1">
      <c r="N96" s="10"/>
    </row>
    <row r="97" ht="15.75" customHeight="1">
      <c r="N97" s="10"/>
    </row>
    <row r="98" ht="15.75" customHeight="1">
      <c r="N98" s="10"/>
    </row>
    <row r="99" ht="15.75" customHeight="1">
      <c r="N99" s="10"/>
    </row>
    <row r="100" ht="15.75" customHeight="1">
      <c r="N100" s="10"/>
    </row>
    <row r="101" ht="15.75" customHeight="1">
      <c r="N101" s="10"/>
    </row>
    <row r="102" ht="15.75" customHeight="1">
      <c r="N102" s="10"/>
    </row>
    <row r="103" ht="15.75" customHeight="1">
      <c r="N103" s="10"/>
    </row>
    <row r="104" ht="15.75" customHeight="1">
      <c r="N104" s="10"/>
    </row>
    <row r="105" ht="15.75" customHeight="1">
      <c r="N105" s="10"/>
    </row>
    <row r="106" ht="15.75" customHeight="1">
      <c r="N106" s="10"/>
    </row>
    <row r="107" ht="15.75" customHeight="1">
      <c r="N107" s="10"/>
    </row>
    <row r="108" ht="15.75" customHeight="1">
      <c r="N108" s="10"/>
    </row>
    <row r="109" ht="15.75" customHeight="1">
      <c r="N109" s="10"/>
    </row>
    <row r="110" ht="15.75" customHeight="1">
      <c r="N110" s="10"/>
    </row>
    <row r="111" ht="15.75" customHeight="1">
      <c r="N111" s="10"/>
    </row>
    <row r="112" ht="15.75" customHeight="1">
      <c r="N112" s="10"/>
    </row>
    <row r="113" ht="15.75" customHeight="1">
      <c r="N113" s="10"/>
    </row>
    <row r="114" ht="15.75" customHeight="1">
      <c r="N114" s="10"/>
    </row>
    <row r="115" ht="15.75" customHeight="1">
      <c r="N115" s="10"/>
    </row>
    <row r="116" ht="15.75" customHeight="1">
      <c r="N116" s="10"/>
    </row>
    <row r="117" ht="15.75" customHeight="1">
      <c r="N117" s="10"/>
    </row>
    <row r="118" ht="15.75" customHeight="1">
      <c r="N118" s="10"/>
    </row>
    <row r="119" ht="15.75" customHeight="1">
      <c r="N119" s="10"/>
    </row>
    <row r="120" ht="15.75" customHeight="1">
      <c r="N120" s="10"/>
    </row>
    <row r="121" ht="15.75" customHeight="1">
      <c r="N121" s="10"/>
    </row>
    <row r="122" ht="15.75" customHeight="1">
      <c r="N122" s="10"/>
    </row>
    <row r="123" ht="15.75" customHeight="1">
      <c r="N123" s="10"/>
    </row>
    <row r="124" ht="15.75" customHeight="1">
      <c r="N124" s="10"/>
    </row>
    <row r="125" ht="15.75" customHeight="1">
      <c r="N125" s="10"/>
    </row>
    <row r="126" ht="15.75" customHeight="1">
      <c r="N126" s="10"/>
    </row>
    <row r="127" ht="15.75" customHeight="1">
      <c r="N127" s="10"/>
    </row>
    <row r="128" ht="15.75" customHeight="1">
      <c r="N128" s="10"/>
    </row>
    <row r="129" ht="15.75" customHeight="1">
      <c r="N129" s="10"/>
    </row>
    <row r="130" ht="15.75" customHeight="1">
      <c r="N130" s="10"/>
    </row>
    <row r="131" ht="15.75" customHeight="1">
      <c r="N131" s="10"/>
    </row>
    <row r="132" ht="15.75" customHeight="1">
      <c r="N132" s="10"/>
    </row>
    <row r="133" ht="15.75" customHeight="1">
      <c r="N133" s="10"/>
    </row>
    <row r="134" ht="15.75" customHeight="1">
      <c r="N134" s="10"/>
    </row>
    <row r="135" ht="15.75" customHeight="1">
      <c r="N135" s="10"/>
    </row>
    <row r="136" ht="15.75" customHeight="1">
      <c r="N136" s="10"/>
    </row>
    <row r="137" ht="15.75" customHeight="1">
      <c r="N137" s="10"/>
    </row>
    <row r="138" ht="15.75" customHeight="1">
      <c r="N138" s="10"/>
    </row>
    <row r="139" ht="15.75" customHeight="1">
      <c r="N139" s="10"/>
    </row>
    <row r="140" ht="15.75" customHeight="1">
      <c r="N140" s="10"/>
    </row>
    <row r="141" ht="15.75" customHeight="1">
      <c r="N141" s="10"/>
    </row>
    <row r="142" ht="15.75" customHeight="1">
      <c r="N142" s="10"/>
    </row>
    <row r="143" ht="15.75" customHeight="1">
      <c r="N143" s="10"/>
    </row>
    <row r="144" ht="15.75" customHeight="1">
      <c r="N144" s="10"/>
    </row>
    <row r="145" ht="15.75" customHeight="1">
      <c r="N145" s="10"/>
    </row>
    <row r="146" ht="15.75" customHeight="1">
      <c r="N146" s="10"/>
    </row>
    <row r="147" ht="15.75" customHeight="1">
      <c r="N147" s="10"/>
    </row>
    <row r="148" ht="15.75" customHeight="1">
      <c r="N148" s="10"/>
    </row>
    <row r="149" ht="15.75" customHeight="1">
      <c r="N149" s="10"/>
    </row>
    <row r="150" ht="15.75" customHeight="1">
      <c r="N150" s="10"/>
    </row>
    <row r="151" ht="15.75" customHeight="1">
      <c r="N151" s="10"/>
    </row>
    <row r="152" ht="15.75" customHeight="1">
      <c r="N152" s="10"/>
    </row>
    <row r="153" ht="15.75" customHeight="1">
      <c r="N153" s="10"/>
    </row>
    <row r="154" ht="15.75" customHeight="1">
      <c r="N154" s="10"/>
    </row>
    <row r="155" ht="15.75" customHeight="1">
      <c r="N155" s="10"/>
    </row>
    <row r="156" ht="15.75" customHeight="1">
      <c r="N156" s="10"/>
    </row>
    <row r="157" ht="15.75" customHeight="1">
      <c r="N157" s="10"/>
    </row>
    <row r="158" ht="15.75" customHeight="1">
      <c r="N158" s="10"/>
    </row>
    <row r="159" ht="15.75" customHeight="1">
      <c r="N159" s="10"/>
    </row>
    <row r="160" ht="15.75" customHeight="1">
      <c r="N160" s="10"/>
    </row>
    <row r="161" ht="15.75" customHeight="1">
      <c r="N161" s="10"/>
    </row>
    <row r="162" ht="15.75" customHeight="1">
      <c r="N162" s="10"/>
    </row>
    <row r="163" ht="15.75" customHeight="1">
      <c r="N163" s="10"/>
    </row>
    <row r="164" ht="15.75" customHeight="1">
      <c r="N164" s="10"/>
    </row>
    <row r="165" ht="15.75" customHeight="1">
      <c r="N165" s="10"/>
    </row>
    <row r="166" ht="15.75" customHeight="1">
      <c r="N166" s="10"/>
    </row>
    <row r="167" ht="15.75" customHeight="1">
      <c r="N167" s="10"/>
    </row>
    <row r="168" ht="15.75" customHeight="1">
      <c r="N168" s="10"/>
    </row>
    <row r="169" ht="15.75" customHeight="1">
      <c r="N169" s="10"/>
    </row>
    <row r="170" ht="15.75" customHeight="1">
      <c r="N170" s="10"/>
    </row>
    <row r="171" ht="15.75" customHeight="1">
      <c r="N171" s="10"/>
    </row>
    <row r="172" ht="15.75" customHeight="1">
      <c r="N172" s="10"/>
    </row>
    <row r="173" ht="15.75" customHeight="1">
      <c r="N173" s="10"/>
    </row>
    <row r="174" ht="15.75" customHeight="1">
      <c r="N174" s="10"/>
    </row>
    <row r="175" ht="15.75" customHeight="1">
      <c r="N175" s="10"/>
    </row>
    <row r="176" ht="15.75" customHeight="1">
      <c r="N176" s="10"/>
    </row>
    <row r="177" ht="15.75" customHeight="1">
      <c r="N177" s="10"/>
    </row>
    <row r="178" ht="15.75" customHeight="1">
      <c r="N178" s="10"/>
    </row>
    <row r="179" ht="15.75" customHeight="1">
      <c r="N179" s="10"/>
    </row>
    <row r="180" ht="15.75" customHeight="1">
      <c r="N180" s="10"/>
    </row>
    <row r="181" ht="15.75" customHeight="1">
      <c r="N181" s="10"/>
    </row>
    <row r="182" ht="15.75" customHeight="1">
      <c r="N182" s="10"/>
    </row>
    <row r="183" ht="15.75" customHeight="1">
      <c r="N183" s="10"/>
    </row>
    <row r="184" ht="15.75" customHeight="1">
      <c r="N184" s="10"/>
    </row>
    <row r="185" ht="15.75" customHeight="1">
      <c r="N185" s="10"/>
    </row>
    <row r="186" ht="15.75" customHeight="1">
      <c r="N186" s="10"/>
    </row>
    <row r="187" ht="15.75" customHeight="1">
      <c r="N187" s="10"/>
    </row>
    <row r="188" ht="15.75" customHeight="1">
      <c r="N188" s="10"/>
    </row>
    <row r="189" ht="15.75" customHeight="1">
      <c r="N189" s="10"/>
    </row>
    <row r="190" ht="15.75" customHeight="1">
      <c r="N190" s="10"/>
    </row>
    <row r="191" ht="15.75" customHeight="1">
      <c r="N191" s="10"/>
    </row>
    <row r="192" ht="15.75" customHeight="1">
      <c r="N192" s="10"/>
    </row>
    <row r="193" ht="15.75" customHeight="1">
      <c r="N193" s="10"/>
    </row>
    <row r="194" ht="15.75" customHeight="1">
      <c r="N194" s="10"/>
    </row>
    <row r="195" ht="15.75" customHeight="1">
      <c r="N195" s="10"/>
    </row>
    <row r="196" ht="15.75" customHeight="1">
      <c r="N196" s="10"/>
    </row>
    <row r="197" ht="15.75" customHeight="1">
      <c r="N197" s="10"/>
    </row>
    <row r="198" ht="15.75" customHeight="1">
      <c r="N198" s="10"/>
    </row>
    <row r="199" ht="15.75" customHeight="1">
      <c r="N199" s="10"/>
    </row>
    <row r="200" ht="15.75" customHeight="1">
      <c r="N200" s="10"/>
    </row>
    <row r="201" ht="15.75" customHeight="1">
      <c r="N201" s="10"/>
    </row>
    <row r="202" ht="15.75" customHeight="1">
      <c r="N202" s="10"/>
    </row>
    <row r="203" ht="15.75" customHeight="1">
      <c r="N203" s="10"/>
    </row>
    <row r="204" ht="15.75" customHeight="1">
      <c r="N204" s="10"/>
    </row>
    <row r="205" ht="15.75" customHeight="1">
      <c r="N205" s="10"/>
    </row>
    <row r="206" ht="15.75" customHeight="1">
      <c r="N206" s="10"/>
    </row>
    <row r="207" ht="15.75" customHeight="1">
      <c r="N207" s="10"/>
    </row>
    <row r="208" ht="15.75" customHeight="1">
      <c r="N208" s="10"/>
    </row>
    <row r="209" ht="15.75" customHeight="1">
      <c r="N209" s="10"/>
    </row>
    <row r="210" ht="15.75" customHeight="1">
      <c r="N210" s="10"/>
    </row>
    <row r="211" ht="15.75" customHeight="1">
      <c r="N211" s="10"/>
    </row>
    <row r="212" ht="15.75" customHeight="1">
      <c r="N212" s="10"/>
    </row>
    <row r="213" ht="15.75" customHeight="1">
      <c r="N213" s="10"/>
    </row>
    <row r="214" ht="15.75" customHeight="1">
      <c r="N214" s="10"/>
    </row>
    <row r="215" ht="15.75" customHeight="1">
      <c r="N215" s="10"/>
    </row>
    <row r="216" ht="15.75" customHeight="1">
      <c r="N216" s="10"/>
    </row>
    <row r="217" ht="15.75" customHeight="1">
      <c r="N217" s="10"/>
    </row>
    <row r="218" ht="15.75" customHeight="1">
      <c r="N218" s="10"/>
    </row>
    <row r="219" ht="15.75" customHeight="1">
      <c r="N219" s="10"/>
    </row>
    <row r="220" ht="15.75" customHeight="1">
      <c r="N220" s="10"/>
    </row>
    <row r="221" ht="15.75" customHeight="1">
      <c r="N221" s="10"/>
    </row>
    <row r="222" ht="15.75" customHeight="1">
      <c r="N222" s="10"/>
    </row>
    <row r="223" ht="15.75" customHeight="1">
      <c r="N223" s="10"/>
    </row>
    <row r="224" ht="15.75" customHeight="1">
      <c r="N224" s="10"/>
    </row>
    <row r="225" ht="15.75" customHeight="1">
      <c r="N225" s="10"/>
    </row>
    <row r="226" ht="15.75" customHeight="1">
      <c r="N226" s="10"/>
    </row>
    <row r="227" ht="15.75" customHeight="1">
      <c r="N227" s="10"/>
    </row>
    <row r="228" ht="15.75" customHeight="1">
      <c r="N228" s="10"/>
    </row>
    <row r="229" ht="15.75" customHeight="1">
      <c r="N229" s="10"/>
    </row>
    <row r="230" ht="15.75" customHeight="1">
      <c r="N230" s="10"/>
    </row>
    <row r="231" ht="15.75" customHeight="1">
      <c r="N231" s="10"/>
    </row>
    <row r="232" ht="15.75" customHeight="1">
      <c r="N232" s="10"/>
    </row>
    <row r="233" ht="15.75" customHeight="1">
      <c r="N233" s="10"/>
    </row>
    <row r="234" ht="15.75" customHeight="1">
      <c r="N234" s="10"/>
    </row>
    <row r="235" ht="15.75" customHeight="1">
      <c r="N235" s="10"/>
    </row>
    <row r="236" ht="15.75" customHeight="1">
      <c r="N236" s="10"/>
    </row>
    <row r="237" ht="15.75" customHeight="1">
      <c r="N237" s="10"/>
    </row>
    <row r="238" ht="15.75" customHeight="1">
      <c r="N238" s="10"/>
    </row>
    <row r="239" ht="15.75" customHeight="1">
      <c r="N239" s="10"/>
    </row>
    <row r="240" ht="15.75" customHeight="1">
      <c r="N240" s="10"/>
    </row>
    <row r="241" ht="15.75" customHeight="1">
      <c r="N241" s="10"/>
    </row>
    <row r="242" ht="15.75" customHeight="1">
      <c r="N242" s="10"/>
    </row>
    <row r="243" ht="15.75" customHeight="1">
      <c r="N243" s="10"/>
    </row>
    <row r="244" ht="15.75" customHeight="1">
      <c r="N244" s="10"/>
    </row>
    <row r="245" ht="15.75" customHeight="1">
      <c r="N245" s="10"/>
    </row>
    <row r="246" ht="15.75" customHeight="1">
      <c r="N246" s="10"/>
    </row>
    <row r="247" ht="15.75" customHeight="1">
      <c r="N247" s="10"/>
    </row>
    <row r="248" ht="15.75" customHeight="1">
      <c r="N248" s="10"/>
    </row>
    <row r="249" ht="15.75" customHeight="1">
      <c r="N249" s="10"/>
    </row>
    <row r="250" ht="15.75" customHeight="1">
      <c r="N250" s="10"/>
    </row>
    <row r="251" ht="15.75" customHeight="1">
      <c r="N251" s="10"/>
    </row>
    <row r="252" ht="15.75" customHeight="1">
      <c r="N252" s="10"/>
    </row>
    <row r="253" ht="15.75" customHeight="1">
      <c r="N253" s="10"/>
    </row>
    <row r="254" ht="15.75" customHeight="1">
      <c r="N254" s="10"/>
    </row>
    <row r="255" ht="15.75" customHeight="1">
      <c r="N255" s="10"/>
    </row>
    <row r="256" ht="15.75" customHeight="1">
      <c r="N256" s="10"/>
    </row>
    <row r="257" ht="15.75" customHeight="1">
      <c r="N257" s="10"/>
    </row>
    <row r="258" ht="15.75" customHeight="1">
      <c r="N258" s="10"/>
    </row>
    <row r="259" ht="15.75" customHeight="1">
      <c r="N259" s="10"/>
    </row>
    <row r="260" ht="15.75" customHeight="1">
      <c r="N260" s="10"/>
    </row>
    <row r="261" ht="15.75" customHeight="1">
      <c r="N261" s="10"/>
    </row>
    <row r="262" ht="15.75" customHeight="1">
      <c r="N262" s="10"/>
    </row>
    <row r="263" ht="15.75" customHeight="1">
      <c r="N263" s="10"/>
    </row>
    <row r="264" ht="15.75" customHeight="1">
      <c r="N264" s="10"/>
    </row>
    <row r="265" ht="15.75" customHeight="1">
      <c r="N265" s="10"/>
    </row>
    <row r="266" ht="15.75" customHeight="1">
      <c r="N266" s="10"/>
    </row>
    <row r="267" ht="15.75" customHeight="1">
      <c r="N267" s="10"/>
    </row>
    <row r="268" ht="15.75" customHeight="1">
      <c r="N268" s="10"/>
    </row>
    <row r="269" ht="15.75" customHeight="1">
      <c r="N269" s="10"/>
    </row>
    <row r="270" ht="15.75" customHeight="1">
      <c r="N270" s="10"/>
    </row>
    <row r="271" ht="15.75" customHeight="1">
      <c r="N271" s="10"/>
    </row>
    <row r="272" ht="15.75" customHeight="1">
      <c r="N272" s="10"/>
    </row>
    <row r="273" ht="15.75" customHeight="1">
      <c r="N273" s="10"/>
    </row>
    <row r="274" ht="15.75" customHeight="1">
      <c r="N274" s="10"/>
    </row>
    <row r="275" ht="15.75" customHeight="1">
      <c r="N275" s="10"/>
    </row>
    <row r="276" ht="15.75" customHeight="1">
      <c r="N276" s="10"/>
    </row>
    <row r="277" ht="15.75" customHeight="1">
      <c r="N277" s="10"/>
    </row>
    <row r="278" ht="15.75" customHeight="1">
      <c r="N278" s="10"/>
    </row>
    <row r="279" ht="15.75" customHeight="1">
      <c r="N279" s="10"/>
    </row>
    <row r="280" ht="15.75" customHeight="1">
      <c r="N280" s="10"/>
    </row>
    <row r="281" ht="15.75" customHeight="1">
      <c r="N281" s="10"/>
    </row>
    <row r="282" ht="15.75" customHeight="1">
      <c r="N282" s="10"/>
    </row>
    <row r="283" ht="15.75" customHeight="1">
      <c r="N283" s="10"/>
    </row>
    <row r="284" ht="15.75" customHeight="1">
      <c r="N284" s="10"/>
    </row>
    <row r="285" ht="15.75" customHeight="1">
      <c r="N285" s="10"/>
    </row>
    <row r="286" ht="15.75" customHeight="1">
      <c r="N286" s="10"/>
    </row>
    <row r="287" ht="15.75" customHeight="1">
      <c r="N287" s="10"/>
    </row>
    <row r="288" ht="15.75" customHeight="1">
      <c r="N288" s="10"/>
    </row>
    <row r="289" ht="15.75" customHeight="1">
      <c r="N289" s="10"/>
    </row>
    <row r="290" ht="15.75" customHeight="1">
      <c r="N290" s="10"/>
    </row>
    <row r="291" ht="15.75" customHeight="1">
      <c r="N291" s="10"/>
    </row>
    <row r="292" ht="15.75" customHeight="1">
      <c r="N292" s="10"/>
    </row>
    <row r="293" ht="15.75" customHeight="1">
      <c r="N293" s="10"/>
    </row>
    <row r="294" ht="15.75" customHeight="1">
      <c r="N294" s="10"/>
    </row>
    <row r="295" ht="15.75" customHeight="1">
      <c r="N295" s="10"/>
    </row>
    <row r="296" ht="15.75" customHeight="1">
      <c r="N296" s="10"/>
    </row>
    <row r="297" ht="15.75" customHeight="1">
      <c r="N297" s="10"/>
    </row>
    <row r="298" ht="15.75" customHeight="1">
      <c r="N298" s="10"/>
    </row>
    <row r="299" ht="15.75" customHeight="1">
      <c r="N299" s="10"/>
    </row>
    <row r="300" ht="15.75" customHeight="1">
      <c r="N300" s="10"/>
    </row>
    <row r="301" ht="15.75" customHeight="1">
      <c r="N301" s="10"/>
    </row>
    <row r="302" ht="15.75" customHeight="1">
      <c r="N302" s="10"/>
    </row>
    <row r="303" ht="15.75" customHeight="1">
      <c r="N303" s="10"/>
    </row>
    <row r="304" ht="15.75" customHeight="1">
      <c r="N304" s="10"/>
    </row>
    <row r="305" ht="15.75" customHeight="1">
      <c r="N305" s="10"/>
    </row>
    <row r="306" ht="15.75" customHeight="1">
      <c r="N306" s="10"/>
    </row>
    <row r="307" ht="15.75" customHeight="1">
      <c r="N307" s="10"/>
    </row>
    <row r="308" ht="15.75" customHeight="1">
      <c r="N308" s="10"/>
    </row>
    <row r="309" ht="15.75" customHeight="1">
      <c r="N309" s="10"/>
    </row>
    <row r="310" ht="15.75" customHeight="1">
      <c r="N310" s="10"/>
    </row>
    <row r="311" ht="15.75" customHeight="1">
      <c r="N311" s="10"/>
    </row>
    <row r="312" ht="15.75" customHeight="1">
      <c r="N312" s="10"/>
    </row>
    <row r="313" ht="15.75" customHeight="1">
      <c r="N313" s="10"/>
    </row>
    <row r="314" ht="15.75" customHeight="1">
      <c r="N314" s="10"/>
    </row>
    <row r="315" ht="15.75" customHeight="1">
      <c r="N315" s="10"/>
    </row>
    <row r="316" ht="15.75" customHeight="1">
      <c r="N316" s="10"/>
    </row>
    <row r="317" ht="15.75" customHeight="1">
      <c r="N317" s="10"/>
    </row>
    <row r="318" ht="15.75" customHeight="1">
      <c r="N318" s="10"/>
    </row>
    <row r="319" ht="15.75" customHeight="1">
      <c r="N319" s="10"/>
    </row>
    <row r="320" ht="15.75" customHeight="1">
      <c r="N320" s="10"/>
    </row>
    <row r="321" ht="15.75" customHeight="1">
      <c r="N321" s="10"/>
    </row>
    <row r="322" ht="15.75" customHeight="1">
      <c r="N322" s="10"/>
    </row>
    <row r="323" ht="15.75" customHeight="1">
      <c r="N323" s="10"/>
    </row>
    <row r="324" ht="15.75" customHeight="1">
      <c r="N324" s="10"/>
    </row>
    <row r="325" ht="15.75" customHeight="1">
      <c r="N325" s="10"/>
    </row>
    <row r="326" ht="15.75" customHeight="1">
      <c r="N326" s="10"/>
    </row>
    <row r="327" ht="15.75" customHeight="1">
      <c r="N327" s="10"/>
    </row>
    <row r="328" ht="15.75" customHeight="1">
      <c r="N328" s="10"/>
    </row>
    <row r="329" ht="15.75" customHeight="1">
      <c r="N329" s="10"/>
    </row>
    <row r="330" ht="15.75" customHeight="1">
      <c r="N330" s="10"/>
    </row>
    <row r="331" ht="15.75" customHeight="1">
      <c r="N331" s="10"/>
    </row>
    <row r="332" ht="15.75" customHeight="1">
      <c r="N332" s="10"/>
    </row>
    <row r="333" ht="15.75" customHeight="1">
      <c r="N333" s="10"/>
    </row>
    <row r="334" ht="15.75" customHeight="1">
      <c r="N334" s="10"/>
    </row>
    <row r="335" ht="15.75" customHeight="1">
      <c r="N335" s="10"/>
    </row>
    <row r="336" ht="15.75" customHeight="1">
      <c r="N336" s="10"/>
    </row>
    <row r="337" ht="15.75" customHeight="1">
      <c r="N337" s="10"/>
    </row>
    <row r="338" ht="15.75" customHeight="1">
      <c r="N338" s="10"/>
    </row>
    <row r="339" ht="15.75" customHeight="1">
      <c r="N339" s="10"/>
    </row>
    <row r="340" ht="15.75" customHeight="1">
      <c r="N340" s="10"/>
    </row>
    <row r="341" ht="15.75" customHeight="1">
      <c r="N341" s="10"/>
    </row>
    <row r="342" ht="15.75" customHeight="1">
      <c r="N342" s="10"/>
    </row>
    <row r="343" ht="15.75" customHeight="1">
      <c r="N343" s="10"/>
    </row>
    <row r="344" ht="15.75" customHeight="1">
      <c r="N344" s="10"/>
    </row>
    <row r="345" ht="15.75" customHeight="1">
      <c r="N345" s="10"/>
    </row>
    <row r="346" ht="15.75" customHeight="1">
      <c r="N346" s="10"/>
    </row>
    <row r="347" ht="15.75" customHeight="1">
      <c r="N347" s="10"/>
    </row>
    <row r="348" ht="15.75" customHeight="1">
      <c r="N348" s="10"/>
    </row>
    <row r="349" ht="15.75" customHeight="1">
      <c r="N349" s="10"/>
    </row>
    <row r="350" ht="15.75" customHeight="1">
      <c r="N350" s="10"/>
    </row>
    <row r="351" ht="15.75" customHeight="1">
      <c r="N351" s="10"/>
    </row>
    <row r="352" ht="15.75" customHeight="1">
      <c r="N352" s="10"/>
    </row>
    <row r="353" ht="15.75" customHeight="1">
      <c r="N353" s="10"/>
    </row>
    <row r="354" ht="15.75" customHeight="1">
      <c r="N354" s="10"/>
    </row>
    <row r="355" ht="15.75" customHeight="1">
      <c r="N355" s="10"/>
    </row>
    <row r="356" ht="15.75" customHeight="1">
      <c r="N356" s="10"/>
    </row>
    <row r="357" ht="15.75" customHeight="1">
      <c r="N357" s="10"/>
    </row>
    <row r="358" ht="15.75" customHeight="1">
      <c r="N358" s="10"/>
    </row>
    <row r="359" ht="15.75" customHeight="1">
      <c r="N359" s="10"/>
    </row>
    <row r="360" ht="15.75" customHeight="1">
      <c r="N360" s="10"/>
    </row>
    <row r="361" ht="15.75" customHeight="1">
      <c r="N361" s="10"/>
    </row>
    <row r="362" ht="15.75" customHeight="1">
      <c r="N362" s="10"/>
    </row>
    <row r="363" ht="15.75" customHeight="1">
      <c r="N363" s="10"/>
    </row>
    <row r="364" ht="15.75" customHeight="1">
      <c r="N364" s="10"/>
    </row>
    <row r="365" ht="15.75" customHeight="1">
      <c r="N365" s="10"/>
    </row>
    <row r="366" ht="15.75" customHeight="1">
      <c r="N366" s="10"/>
    </row>
    <row r="367" ht="15.75" customHeight="1">
      <c r="N367" s="10"/>
    </row>
    <row r="368" ht="15.75" customHeight="1">
      <c r="N368" s="10"/>
    </row>
    <row r="369" ht="15.75" customHeight="1">
      <c r="N369" s="10"/>
    </row>
    <row r="370" ht="15.75" customHeight="1">
      <c r="N370" s="10"/>
    </row>
    <row r="371" ht="15.75" customHeight="1">
      <c r="N371" s="10"/>
    </row>
    <row r="372" ht="15.75" customHeight="1">
      <c r="N372" s="10"/>
    </row>
    <row r="373" ht="15.75" customHeight="1">
      <c r="N373" s="10"/>
    </row>
    <row r="374" ht="15.75" customHeight="1">
      <c r="N374" s="10"/>
    </row>
    <row r="375" ht="15.75" customHeight="1">
      <c r="N375" s="10"/>
    </row>
    <row r="376" ht="15.75" customHeight="1">
      <c r="N376" s="10"/>
    </row>
    <row r="377" ht="15.75" customHeight="1">
      <c r="N377" s="10"/>
    </row>
    <row r="378" ht="15.75" customHeight="1">
      <c r="N378" s="10"/>
    </row>
    <row r="379" ht="15.75" customHeight="1">
      <c r="N379" s="10"/>
    </row>
    <row r="380" ht="15.75" customHeight="1">
      <c r="N380" s="10"/>
    </row>
    <row r="381" ht="15.75" customHeight="1">
      <c r="N381" s="10"/>
    </row>
    <row r="382" ht="15.75" customHeight="1">
      <c r="N382" s="10"/>
    </row>
    <row r="383" ht="15.75" customHeight="1">
      <c r="N383" s="10"/>
    </row>
    <row r="384" ht="15.75" customHeight="1">
      <c r="N384" s="10"/>
    </row>
    <row r="385" ht="15.75" customHeight="1">
      <c r="N385" s="10"/>
    </row>
    <row r="386" ht="15.75" customHeight="1">
      <c r="N386" s="10"/>
    </row>
    <row r="387" ht="15.75" customHeight="1">
      <c r="N387" s="10"/>
    </row>
    <row r="388" ht="15.75" customHeight="1">
      <c r="N388" s="10"/>
    </row>
    <row r="389" ht="15.75" customHeight="1">
      <c r="N389" s="10"/>
    </row>
    <row r="390" ht="15.75" customHeight="1">
      <c r="N390" s="10"/>
    </row>
    <row r="391" ht="15.75" customHeight="1">
      <c r="N391" s="10"/>
    </row>
    <row r="392" ht="15.75" customHeight="1">
      <c r="N392" s="10"/>
    </row>
    <row r="393" ht="15.75" customHeight="1">
      <c r="N393" s="10"/>
    </row>
    <row r="394" ht="15.75" customHeight="1">
      <c r="N394" s="10"/>
    </row>
    <row r="395" ht="15.75" customHeight="1">
      <c r="N395" s="10"/>
    </row>
    <row r="396" ht="15.75" customHeight="1">
      <c r="N396" s="10"/>
    </row>
    <row r="397" ht="15.75" customHeight="1">
      <c r="N397" s="10"/>
    </row>
    <row r="398" ht="15.75" customHeight="1">
      <c r="N398" s="10"/>
    </row>
    <row r="399" ht="15.75" customHeight="1">
      <c r="N399" s="10"/>
    </row>
    <row r="400" ht="15.75" customHeight="1">
      <c r="N400" s="10"/>
    </row>
    <row r="401" ht="15.75" customHeight="1">
      <c r="N401" s="10"/>
    </row>
    <row r="402" ht="15.75" customHeight="1">
      <c r="N402" s="10"/>
    </row>
    <row r="403" ht="15.75" customHeight="1">
      <c r="N403" s="10"/>
    </row>
    <row r="404" ht="15.75" customHeight="1">
      <c r="N404" s="10"/>
    </row>
    <row r="405" ht="15.75" customHeight="1">
      <c r="N405" s="10"/>
    </row>
    <row r="406" ht="15.75" customHeight="1">
      <c r="N406" s="10"/>
    </row>
    <row r="407" ht="15.75" customHeight="1">
      <c r="N407" s="10"/>
    </row>
    <row r="408" ht="15.75" customHeight="1">
      <c r="N408" s="10"/>
    </row>
    <row r="409" ht="15.75" customHeight="1">
      <c r="N409" s="10"/>
    </row>
    <row r="410" ht="15.75" customHeight="1">
      <c r="N410" s="10"/>
    </row>
    <row r="411" ht="15.75" customHeight="1">
      <c r="N411" s="10"/>
    </row>
    <row r="412" ht="15.75" customHeight="1">
      <c r="N412" s="10"/>
    </row>
    <row r="413" ht="15.75" customHeight="1">
      <c r="N413" s="10"/>
    </row>
    <row r="414" ht="15.75" customHeight="1">
      <c r="N414" s="10"/>
    </row>
    <row r="415" ht="15.75" customHeight="1">
      <c r="N415" s="10"/>
    </row>
    <row r="416" ht="15.75" customHeight="1">
      <c r="N416" s="10"/>
    </row>
    <row r="417" ht="15.75" customHeight="1">
      <c r="N417" s="10"/>
    </row>
    <row r="418" ht="15.75" customHeight="1">
      <c r="N418" s="10"/>
    </row>
    <row r="419" ht="15.75" customHeight="1">
      <c r="N419" s="10"/>
    </row>
    <row r="420" ht="15.75" customHeight="1">
      <c r="N420" s="10"/>
    </row>
    <row r="421" ht="15.75" customHeight="1">
      <c r="N421" s="10"/>
    </row>
    <row r="422" ht="15.75" customHeight="1">
      <c r="N422" s="10"/>
    </row>
    <row r="423" ht="15.75" customHeight="1">
      <c r="N423" s="10"/>
    </row>
    <row r="424" ht="15.75" customHeight="1">
      <c r="N424" s="10"/>
    </row>
    <row r="425" ht="15.75" customHeight="1">
      <c r="N425" s="10"/>
    </row>
    <row r="426" ht="15.75" customHeight="1">
      <c r="N426" s="10"/>
    </row>
    <row r="427" ht="15.75" customHeight="1">
      <c r="N427" s="10"/>
    </row>
    <row r="428" ht="15.75" customHeight="1">
      <c r="N428" s="10"/>
    </row>
    <row r="429" ht="15.75" customHeight="1">
      <c r="N429" s="10"/>
    </row>
    <row r="430" ht="15.75" customHeight="1">
      <c r="N430" s="10"/>
    </row>
    <row r="431" ht="15.75" customHeight="1">
      <c r="N431" s="10"/>
    </row>
    <row r="432" ht="15.75" customHeight="1">
      <c r="N432" s="10"/>
    </row>
    <row r="433" ht="15.75" customHeight="1">
      <c r="N433" s="10"/>
    </row>
    <row r="434" ht="15.75" customHeight="1">
      <c r="N434" s="10"/>
    </row>
    <row r="435" ht="15.75" customHeight="1">
      <c r="N435" s="10"/>
    </row>
    <row r="436" ht="15.75" customHeight="1">
      <c r="N436" s="10"/>
    </row>
    <row r="437" ht="15.75" customHeight="1">
      <c r="N437" s="10"/>
    </row>
    <row r="438" ht="15.75" customHeight="1">
      <c r="N438" s="10"/>
    </row>
    <row r="439" ht="15.75" customHeight="1">
      <c r="N439" s="10"/>
    </row>
    <row r="440" ht="15.75" customHeight="1">
      <c r="N440" s="10"/>
    </row>
    <row r="441" ht="15.75" customHeight="1">
      <c r="N441" s="10"/>
    </row>
    <row r="442" ht="15.75" customHeight="1">
      <c r="N442" s="10"/>
    </row>
    <row r="443" ht="15.75" customHeight="1">
      <c r="N443" s="10"/>
    </row>
    <row r="444" ht="15.75" customHeight="1">
      <c r="N444" s="10"/>
    </row>
    <row r="445" ht="15.75" customHeight="1">
      <c r="N445" s="10"/>
    </row>
    <row r="446" ht="15.75" customHeight="1">
      <c r="N446" s="10"/>
    </row>
    <row r="447" ht="15.75" customHeight="1">
      <c r="N447" s="10"/>
    </row>
    <row r="448" ht="15.75" customHeight="1">
      <c r="N448" s="10"/>
    </row>
    <row r="449" ht="15.75" customHeight="1">
      <c r="N449" s="10"/>
    </row>
    <row r="450" ht="15.75" customHeight="1">
      <c r="N450" s="10"/>
    </row>
    <row r="451" ht="15.75" customHeight="1">
      <c r="N451" s="10"/>
    </row>
    <row r="452" ht="15.75" customHeight="1">
      <c r="N452" s="10"/>
    </row>
    <row r="453" ht="15.75" customHeight="1">
      <c r="N453" s="10"/>
    </row>
    <row r="454" ht="15.75" customHeight="1">
      <c r="N454" s="10"/>
    </row>
    <row r="455" ht="15.75" customHeight="1">
      <c r="N455" s="10"/>
    </row>
    <row r="456" ht="15.75" customHeight="1">
      <c r="N456" s="10"/>
    </row>
    <row r="457" ht="15.75" customHeight="1">
      <c r="N457" s="10"/>
    </row>
    <row r="458" ht="15.75" customHeight="1">
      <c r="N458" s="10"/>
    </row>
    <row r="459" ht="15.75" customHeight="1">
      <c r="N459" s="10"/>
    </row>
    <row r="460" ht="15.75" customHeight="1">
      <c r="N460" s="10"/>
    </row>
    <row r="461" ht="15.75" customHeight="1">
      <c r="N461" s="10"/>
    </row>
    <row r="462" ht="15.75" customHeight="1">
      <c r="N462" s="10"/>
    </row>
    <row r="463" ht="15.75" customHeight="1">
      <c r="N463" s="10"/>
    </row>
    <row r="464" ht="15.75" customHeight="1">
      <c r="N464" s="10"/>
    </row>
    <row r="465" ht="15.75" customHeight="1">
      <c r="N465" s="10"/>
    </row>
    <row r="466" ht="15.75" customHeight="1">
      <c r="N466" s="10"/>
    </row>
    <row r="467" ht="15.75" customHeight="1">
      <c r="N467" s="10"/>
    </row>
    <row r="468" ht="15.75" customHeight="1">
      <c r="N468" s="10"/>
    </row>
    <row r="469" ht="15.75" customHeight="1">
      <c r="N469" s="10"/>
    </row>
    <row r="470" ht="15.75" customHeight="1">
      <c r="N470" s="10"/>
    </row>
    <row r="471" ht="15.75" customHeight="1">
      <c r="N471" s="10"/>
    </row>
    <row r="472" ht="15.75" customHeight="1">
      <c r="N472" s="10"/>
    </row>
    <row r="473" ht="15.75" customHeight="1">
      <c r="N473" s="10"/>
    </row>
    <row r="474" ht="15.75" customHeight="1">
      <c r="N474" s="10"/>
    </row>
    <row r="475" ht="15.75" customHeight="1">
      <c r="N475" s="10"/>
    </row>
    <row r="476" ht="15.75" customHeight="1">
      <c r="N476" s="10"/>
    </row>
    <row r="477" ht="15.75" customHeight="1">
      <c r="N477" s="10"/>
    </row>
    <row r="478" ht="15.75" customHeight="1">
      <c r="N478" s="10"/>
    </row>
    <row r="479" ht="15.75" customHeight="1">
      <c r="N479" s="10"/>
    </row>
    <row r="480" ht="15.75" customHeight="1">
      <c r="N480" s="10"/>
    </row>
    <row r="481" ht="15.75" customHeight="1">
      <c r="N481" s="10"/>
    </row>
    <row r="482" ht="15.75" customHeight="1">
      <c r="N482" s="10"/>
    </row>
    <row r="483" ht="15.75" customHeight="1">
      <c r="N483" s="10"/>
    </row>
    <row r="484" ht="15.75" customHeight="1">
      <c r="N484" s="10"/>
    </row>
    <row r="485" ht="15.75" customHeight="1">
      <c r="N485" s="10"/>
    </row>
    <row r="486" ht="15.75" customHeight="1">
      <c r="N486" s="10"/>
    </row>
    <row r="487" ht="15.75" customHeight="1">
      <c r="N487" s="10"/>
    </row>
    <row r="488" ht="15.75" customHeight="1">
      <c r="N488" s="10"/>
    </row>
    <row r="489" ht="15.75" customHeight="1">
      <c r="N489" s="10"/>
    </row>
    <row r="490" ht="15.75" customHeight="1">
      <c r="N490" s="10"/>
    </row>
    <row r="491" ht="15.75" customHeight="1">
      <c r="N491" s="10"/>
    </row>
    <row r="492" ht="15.75" customHeight="1">
      <c r="N492" s="10"/>
    </row>
    <row r="493" ht="15.75" customHeight="1">
      <c r="N493" s="10"/>
    </row>
    <row r="494" ht="15.75" customHeight="1">
      <c r="N494" s="10"/>
    </row>
    <row r="495" ht="15.75" customHeight="1">
      <c r="N495" s="10"/>
    </row>
    <row r="496" ht="15.75" customHeight="1">
      <c r="N496" s="10"/>
    </row>
    <row r="497" ht="15.75" customHeight="1">
      <c r="N497" s="10"/>
    </row>
    <row r="498" ht="15.75" customHeight="1">
      <c r="N498" s="10"/>
    </row>
    <row r="499" ht="15.75" customHeight="1">
      <c r="N499" s="10"/>
    </row>
    <row r="500" ht="15.75" customHeight="1">
      <c r="N500" s="10"/>
    </row>
    <row r="501" ht="15.75" customHeight="1">
      <c r="N501" s="10"/>
    </row>
    <row r="502" ht="15.75" customHeight="1">
      <c r="N502" s="10"/>
    </row>
    <row r="503" ht="15.75" customHeight="1">
      <c r="N503" s="10"/>
    </row>
    <row r="504" ht="15.75" customHeight="1">
      <c r="N504" s="10"/>
    </row>
    <row r="505" ht="15.75" customHeight="1">
      <c r="N505" s="10"/>
    </row>
    <row r="506" ht="15.75" customHeight="1">
      <c r="N506" s="10"/>
    </row>
    <row r="507" ht="15.75" customHeight="1">
      <c r="N507" s="10"/>
    </row>
    <row r="508" ht="15.75" customHeight="1">
      <c r="N508" s="10"/>
    </row>
    <row r="509" ht="15.75" customHeight="1">
      <c r="N509" s="10"/>
    </row>
    <row r="510" ht="15.75" customHeight="1">
      <c r="N510" s="10"/>
    </row>
    <row r="511" ht="15.75" customHeight="1">
      <c r="N511" s="10"/>
    </row>
    <row r="512" ht="15.75" customHeight="1">
      <c r="N512" s="10"/>
    </row>
    <row r="513" ht="15.75" customHeight="1">
      <c r="N513" s="10"/>
    </row>
    <row r="514" ht="15.75" customHeight="1">
      <c r="N514" s="10"/>
    </row>
    <row r="515" ht="15.75" customHeight="1">
      <c r="N515" s="10"/>
    </row>
    <row r="516" ht="15.75" customHeight="1">
      <c r="N516" s="10"/>
    </row>
    <row r="517" ht="15.75" customHeight="1">
      <c r="N517" s="10"/>
    </row>
    <row r="518" ht="15.75" customHeight="1">
      <c r="N518" s="10"/>
    </row>
    <row r="519" ht="15.75" customHeight="1">
      <c r="N519" s="10"/>
    </row>
    <row r="520" ht="15.75" customHeight="1">
      <c r="N520" s="10"/>
    </row>
    <row r="521" ht="15.75" customHeight="1">
      <c r="N521" s="10"/>
    </row>
    <row r="522" ht="15.75" customHeight="1">
      <c r="N522" s="10"/>
    </row>
    <row r="523" ht="15.75" customHeight="1">
      <c r="N523" s="10"/>
    </row>
    <row r="524" ht="15.75" customHeight="1">
      <c r="N524" s="10"/>
    </row>
    <row r="525" ht="15.75" customHeight="1">
      <c r="N525" s="10"/>
    </row>
    <row r="526" ht="15.75" customHeight="1">
      <c r="N526" s="10"/>
    </row>
    <row r="527" ht="15.75" customHeight="1">
      <c r="N527" s="10"/>
    </row>
    <row r="528" ht="15.75" customHeight="1">
      <c r="N528" s="10"/>
    </row>
    <row r="529" ht="15.75" customHeight="1">
      <c r="N529" s="10"/>
    </row>
    <row r="530" ht="15.75" customHeight="1">
      <c r="N530" s="10"/>
    </row>
    <row r="531" ht="15.75" customHeight="1">
      <c r="N531" s="10"/>
    </row>
    <row r="532" ht="15.75" customHeight="1">
      <c r="N532" s="10"/>
    </row>
    <row r="533" ht="15.75" customHeight="1">
      <c r="N533" s="10"/>
    </row>
    <row r="534" ht="15.75" customHeight="1">
      <c r="N534" s="10"/>
    </row>
    <row r="535" ht="15.75" customHeight="1">
      <c r="N535" s="10"/>
    </row>
    <row r="536" ht="15.75" customHeight="1">
      <c r="N536" s="10"/>
    </row>
    <row r="537" ht="15.75" customHeight="1">
      <c r="N537" s="10"/>
    </row>
    <row r="538" ht="15.75" customHeight="1">
      <c r="N538" s="10"/>
    </row>
    <row r="539" ht="15.75" customHeight="1">
      <c r="N539" s="10"/>
    </row>
    <row r="540" ht="15.75" customHeight="1">
      <c r="N540" s="10"/>
    </row>
    <row r="541" ht="15.75" customHeight="1">
      <c r="N541" s="10"/>
    </row>
    <row r="542" ht="15.75" customHeight="1">
      <c r="N542" s="10"/>
    </row>
    <row r="543" ht="15.75" customHeight="1">
      <c r="N543" s="10"/>
    </row>
    <row r="544" ht="15.75" customHeight="1">
      <c r="N544" s="10"/>
    </row>
    <row r="545" ht="15.75" customHeight="1">
      <c r="N545" s="10"/>
    </row>
    <row r="546" ht="15.75" customHeight="1">
      <c r="N546" s="10"/>
    </row>
    <row r="547" ht="15.75" customHeight="1">
      <c r="N547" s="10"/>
    </row>
    <row r="548" ht="15.75" customHeight="1">
      <c r="N548" s="10"/>
    </row>
    <row r="549" ht="15.75" customHeight="1">
      <c r="N549" s="10"/>
    </row>
    <row r="550" ht="15.75" customHeight="1">
      <c r="N550" s="10"/>
    </row>
    <row r="551" ht="15.75" customHeight="1">
      <c r="N551" s="10"/>
    </row>
    <row r="552" ht="15.75" customHeight="1">
      <c r="N552" s="10"/>
    </row>
    <row r="553" ht="15.75" customHeight="1">
      <c r="N553" s="10"/>
    </row>
    <row r="554" ht="15.75" customHeight="1">
      <c r="N554" s="10"/>
    </row>
    <row r="555" ht="15.75" customHeight="1">
      <c r="N555" s="10"/>
    </row>
    <row r="556" ht="15.75" customHeight="1">
      <c r="N556" s="10"/>
    </row>
    <row r="557" ht="15.75" customHeight="1">
      <c r="N557" s="10"/>
    </row>
    <row r="558" ht="15.75" customHeight="1">
      <c r="N558" s="10"/>
    </row>
    <row r="559" ht="15.75" customHeight="1">
      <c r="N559" s="10"/>
    </row>
    <row r="560" ht="15.75" customHeight="1">
      <c r="N560" s="10"/>
    </row>
    <row r="561" ht="15.75" customHeight="1">
      <c r="N561" s="10"/>
    </row>
    <row r="562" ht="15.75" customHeight="1">
      <c r="N562" s="10"/>
    </row>
    <row r="563" ht="15.75" customHeight="1">
      <c r="N563" s="10"/>
    </row>
    <row r="564" ht="15.75" customHeight="1">
      <c r="N564" s="10"/>
    </row>
    <row r="565" ht="15.75" customHeight="1">
      <c r="N565" s="10"/>
    </row>
    <row r="566" ht="15.75" customHeight="1">
      <c r="N566" s="10"/>
    </row>
    <row r="567" ht="15.75" customHeight="1">
      <c r="N567" s="10"/>
    </row>
    <row r="568" ht="15.75" customHeight="1">
      <c r="N568" s="10"/>
    </row>
    <row r="569" ht="15.75" customHeight="1">
      <c r="N569" s="10"/>
    </row>
    <row r="570" ht="15.75" customHeight="1">
      <c r="N570" s="10"/>
    </row>
    <row r="571" ht="15.75" customHeight="1">
      <c r="N571" s="10"/>
    </row>
    <row r="572" ht="15.75" customHeight="1">
      <c r="N572" s="10"/>
    </row>
    <row r="573" ht="15.75" customHeight="1">
      <c r="N573" s="10"/>
    </row>
    <row r="574" ht="15.75" customHeight="1">
      <c r="N574" s="10"/>
    </row>
    <row r="575" ht="15.75" customHeight="1">
      <c r="N575" s="10"/>
    </row>
    <row r="576" ht="15.75" customHeight="1">
      <c r="N576" s="10"/>
    </row>
    <row r="577" ht="15.75" customHeight="1">
      <c r="N577" s="10"/>
    </row>
    <row r="578" ht="15.75" customHeight="1">
      <c r="N578" s="10"/>
    </row>
    <row r="579" ht="15.75" customHeight="1">
      <c r="N579" s="10"/>
    </row>
    <row r="580" ht="15.75" customHeight="1">
      <c r="N580" s="10"/>
    </row>
    <row r="581" ht="15.75" customHeight="1">
      <c r="N581" s="10"/>
    </row>
    <row r="582" ht="15.75" customHeight="1">
      <c r="N582" s="10"/>
    </row>
    <row r="583" ht="15.75" customHeight="1">
      <c r="N583" s="10"/>
    </row>
    <row r="584" ht="15.75" customHeight="1">
      <c r="N584" s="10"/>
    </row>
    <row r="585" ht="15.75" customHeight="1">
      <c r="N585" s="10"/>
    </row>
    <row r="586" ht="15.75" customHeight="1">
      <c r="N586" s="10"/>
    </row>
    <row r="587" ht="15.75" customHeight="1">
      <c r="N587" s="10"/>
    </row>
    <row r="588" ht="15.75" customHeight="1">
      <c r="N588" s="10"/>
    </row>
    <row r="589" ht="15.75" customHeight="1">
      <c r="N589" s="10"/>
    </row>
    <row r="590" ht="15.75" customHeight="1">
      <c r="N590" s="10"/>
    </row>
    <row r="591" ht="15.75" customHeight="1">
      <c r="N591" s="10"/>
    </row>
    <row r="592" ht="15.75" customHeight="1">
      <c r="N592" s="10"/>
    </row>
    <row r="593" ht="15.75" customHeight="1">
      <c r="N593" s="10"/>
    </row>
    <row r="594" ht="15.75" customHeight="1">
      <c r="N594" s="10"/>
    </row>
    <row r="595" ht="15.75" customHeight="1">
      <c r="N595" s="10"/>
    </row>
    <row r="596" ht="15.75" customHeight="1">
      <c r="N596" s="10"/>
    </row>
    <row r="597" ht="15.75" customHeight="1">
      <c r="N597" s="10"/>
    </row>
    <row r="598" ht="15.75" customHeight="1">
      <c r="N598" s="10"/>
    </row>
    <row r="599" ht="15.75" customHeight="1">
      <c r="N599" s="10"/>
    </row>
    <row r="600" ht="15.75" customHeight="1">
      <c r="N600" s="10"/>
    </row>
    <row r="601" ht="15.75" customHeight="1">
      <c r="N601" s="10"/>
    </row>
    <row r="602" ht="15.75" customHeight="1">
      <c r="N602" s="10"/>
    </row>
    <row r="603" ht="15.75" customHeight="1">
      <c r="N603" s="10"/>
    </row>
    <row r="604" ht="15.75" customHeight="1">
      <c r="N604" s="10"/>
    </row>
    <row r="605" ht="15.75" customHeight="1">
      <c r="N605" s="10"/>
    </row>
    <row r="606" ht="15.75" customHeight="1">
      <c r="N606" s="10"/>
    </row>
    <row r="607" ht="15.75" customHeight="1">
      <c r="N607" s="10"/>
    </row>
    <row r="608" ht="15.75" customHeight="1">
      <c r="N608" s="10"/>
    </row>
    <row r="609" ht="15.75" customHeight="1">
      <c r="N609" s="10"/>
    </row>
    <row r="610" ht="15.75" customHeight="1">
      <c r="N610" s="10"/>
    </row>
    <row r="611" ht="15.75" customHeight="1">
      <c r="N611" s="10"/>
    </row>
    <row r="612" ht="15.75" customHeight="1">
      <c r="N612" s="10"/>
    </row>
    <row r="613" ht="15.75" customHeight="1">
      <c r="N613" s="10"/>
    </row>
    <row r="614" ht="15.75" customHeight="1">
      <c r="N614" s="10"/>
    </row>
    <row r="615" ht="15.75" customHeight="1">
      <c r="N615" s="10"/>
    </row>
    <row r="616" ht="15.75" customHeight="1">
      <c r="N616" s="10"/>
    </row>
    <row r="617" ht="15.75" customHeight="1">
      <c r="N617" s="10"/>
    </row>
    <row r="618" ht="15.75" customHeight="1">
      <c r="N618" s="10"/>
    </row>
    <row r="619" ht="15.75" customHeight="1">
      <c r="N619" s="10"/>
    </row>
    <row r="620" ht="15.75" customHeight="1">
      <c r="N620" s="10"/>
    </row>
    <row r="621" ht="15.75" customHeight="1">
      <c r="N621" s="10"/>
    </row>
    <row r="622" ht="15.75" customHeight="1">
      <c r="N622" s="10"/>
    </row>
    <row r="623" ht="15.75" customHeight="1">
      <c r="N623" s="10"/>
    </row>
    <row r="624" ht="15.75" customHeight="1">
      <c r="N624" s="10"/>
    </row>
    <row r="625" ht="15.75" customHeight="1">
      <c r="N625" s="10"/>
    </row>
    <row r="626" ht="15.75" customHeight="1">
      <c r="N626" s="10"/>
    </row>
    <row r="627" ht="15.75" customHeight="1">
      <c r="N627" s="10"/>
    </row>
    <row r="628" ht="15.75" customHeight="1">
      <c r="N628" s="10"/>
    </row>
    <row r="629" ht="15.75" customHeight="1">
      <c r="N629" s="10"/>
    </row>
    <row r="630" ht="15.75" customHeight="1">
      <c r="N630" s="10"/>
    </row>
    <row r="631" ht="15.75" customHeight="1">
      <c r="N631" s="10"/>
    </row>
    <row r="632" ht="15.75" customHeight="1">
      <c r="N632" s="10"/>
    </row>
    <row r="633" ht="15.75" customHeight="1">
      <c r="N633" s="10"/>
    </row>
    <row r="634" ht="15.75" customHeight="1">
      <c r="N634" s="10"/>
    </row>
    <row r="635" ht="15.75" customHeight="1">
      <c r="N635" s="10"/>
    </row>
    <row r="636" ht="15.75" customHeight="1">
      <c r="N636" s="10"/>
    </row>
    <row r="637" ht="15.75" customHeight="1">
      <c r="N637" s="10"/>
    </row>
    <row r="638" ht="15.75" customHeight="1">
      <c r="N638" s="10"/>
    </row>
    <row r="639" ht="15.75" customHeight="1">
      <c r="N639" s="10"/>
    </row>
    <row r="640" ht="15.75" customHeight="1">
      <c r="N640" s="10"/>
    </row>
    <row r="641" ht="15.75" customHeight="1">
      <c r="N641" s="10"/>
    </row>
    <row r="642" ht="15.75" customHeight="1">
      <c r="N642" s="10"/>
    </row>
    <row r="643" ht="15.75" customHeight="1">
      <c r="N643" s="10"/>
    </row>
    <row r="644" ht="15.75" customHeight="1">
      <c r="N644" s="10"/>
    </row>
    <row r="645" ht="15.75" customHeight="1">
      <c r="N645" s="10"/>
    </row>
    <row r="646" ht="15.75" customHeight="1">
      <c r="N646" s="10"/>
    </row>
    <row r="647" ht="15.75" customHeight="1">
      <c r="N647" s="10"/>
    </row>
    <row r="648" ht="15.75" customHeight="1">
      <c r="N648" s="10"/>
    </row>
    <row r="649" ht="15.75" customHeight="1">
      <c r="N649" s="10"/>
    </row>
    <row r="650" ht="15.75" customHeight="1">
      <c r="N650" s="10"/>
    </row>
    <row r="651" ht="15.75" customHeight="1">
      <c r="N651" s="10"/>
    </row>
    <row r="652" ht="15.75" customHeight="1">
      <c r="N652" s="10"/>
    </row>
    <row r="653" ht="15.75" customHeight="1">
      <c r="N653" s="10"/>
    </row>
    <row r="654" ht="15.75" customHeight="1">
      <c r="N654" s="10"/>
    </row>
    <row r="655" ht="15.75" customHeight="1">
      <c r="N655" s="10"/>
    </row>
    <row r="656" ht="15.75" customHeight="1">
      <c r="N656" s="10"/>
    </row>
    <row r="657" ht="15.75" customHeight="1">
      <c r="N657" s="10"/>
    </row>
    <row r="658" ht="15.75" customHeight="1">
      <c r="N658" s="10"/>
    </row>
    <row r="659" ht="15.75" customHeight="1">
      <c r="N659" s="10"/>
    </row>
    <row r="660" ht="15.75" customHeight="1">
      <c r="N660" s="10"/>
    </row>
    <row r="661" ht="15.75" customHeight="1">
      <c r="N661" s="10"/>
    </row>
    <row r="662" ht="15.75" customHeight="1">
      <c r="N662" s="10"/>
    </row>
    <row r="663" ht="15.75" customHeight="1">
      <c r="N663" s="10"/>
    </row>
    <row r="664" ht="15.75" customHeight="1">
      <c r="N664" s="10"/>
    </row>
    <row r="665" ht="15.75" customHeight="1">
      <c r="N665" s="10"/>
    </row>
    <row r="666" ht="15.75" customHeight="1">
      <c r="N666" s="10"/>
    </row>
    <row r="667" ht="15.75" customHeight="1">
      <c r="N667" s="10"/>
    </row>
    <row r="668" ht="15.75" customHeight="1">
      <c r="N668" s="10"/>
    </row>
    <row r="669" ht="15.75" customHeight="1">
      <c r="N669" s="10"/>
    </row>
    <row r="670" ht="15.75" customHeight="1">
      <c r="N670" s="10"/>
    </row>
    <row r="671" ht="15.75" customHeight="1">
      <c r="N671" s="10"/>
    </row>
    <row r="672" ht="15.75" customHeight="1">
      <c r="N672" s="10"/>
    </row>
    <row r="673" ht="15.75" customHeight="1">
      <c r="N673" s="10"/>
    </row>
    <row r="674" ht="15.75" customHeight="1">
      <c r="N674" s="10"/>
    </row>
    <row r="675" ht="15.75" customHeight="1">
      <c r="N675" s="10"/>
    </row>
    <row r="676" ht="15.75" customHeight="1">
      <c r="N676" s="10"/>
    </row>
    <row r="677" ht="15.75" customHeight="1">
      <c r="N677" s="10"/>
    </row>
    <row r="678" ht="15.75" customHeight="1">
      <c r="N678" s="10"/>
    </row>
    <row r="679" ht="15.75" customHeight="1">
      <c r="N679" s="10"/>
    </row>
    <row r="680" ht="15.75" customHeight="1">
      <c r="N680" s="10"/>
    </row>
    <row r="681" ht="15.75" customHeight="1">
      <c r="N681" s="10"/>
    </row>
    <row r="682" ht="15.75" customHeight="1">
      <c r="N682" s="10"/>
    </row>
    <row r="683" ht="15.75" customHeight="1">
      <c r="N683" s="10"/>
    </row>
    <row r="684" ht="15.75" customHeight="1">
      <c r="N684" s="10"/>
    </row>
    <row r="685" ht="15.75" customHeight="1">
      <c r="N685" s="10"/>
    </row>
    <row r="686" ht="15.75" customHeight="1">
      <c r="N686" s="10"/>
    </row>
    <row r="687" ht="15.75" customHeight="1">
      <c r="N687" s="10"/>
    </row>
    <row r="688" ht="15.75" customHeight="1">
      <c r="N688" s="10"/>
    </row>
    <row r="689" ht="15.75" customHeight="1">
      <c r="N689" s="10"/>
    </row>
    <row r="690" ht="15.75" customHeight="1">
      <c r="N690" s="10"/>
    </row>
    <row r="691" ht="15.75" customHeight="1">
      <c r="N691" s="10"/>
    </row>
    <row r="692" ht="15.75" customHeight="1">
      <c r="N692" s="10"/>
    </row>
    <row r="693" ht="15.75" customHeight="1">
      <c r="N693" s="10"/>
    </row>
    <row r="694" ht="15.75" customHeight="1">
      <c r="N694" s="10"/>
    </row>
    <row r="695" ht="15.75" customHeight="1">
      <c r="N695" s="10"/>
    </row>
    <row r="696" ht="15.75" customHeight="1">
      <c r="N696" s="10"/>
    </row>
    <row r="697" ht="15.75" customHeight="1">
      <c r="N697" s="10"/>
    </row>
    <row r="698" ht="15.75" customHeight="1">
      <c r="N698" s="10"/>
    </row>
    <row r="699" ht="15.75" customHeight="1">
      <c r="N699" s="10"/>
    </row>
    <row r="700" ht="15.75" customHeight="1">
      <c r="N700" s="10"/>
    </row>
    <row r="701" ht="15.75" customHeight="1">
      <c r="N701" s="10"/>
    </row>
    <row r="702" ht="15.75" customHeight="1">
      <c r="N702" s="10"/>
    </row>
    <row r="703" ht="15.75" customHeight="1">
      <c r="N703" s="10"/>
    </row>
    <row r="704" ht="15.75" customHeight="1">
      <c r="N704" s="10"/>
    </row>
    <row r="705" ht="15.75" customHeight="1">
      <c r="N705" s="10"/>
    </row>
    <row r="706" ht="15.75" customHeight="1">
      <c r="N706" s="10"/>
    </row>
    <row r="707" ht="15.75" customHeight="1">
      <c r="N707" s="10"/>
    </row>
    <row r="708" ht="15.75" customHeight="1">
      <c r="N708" s="10"/>
    </row>
    <row r="709" ht="15.75" customHeight="1">
      <c r="N709" s="10"/>
    </row>
    <row r="710" ht="15.75" customHeight="1">
      <c r="N710" s="10"/>
    </row>
    <row r="711" ht="15.75" customHeight="1">
      <c r="N711" s="10"/>
    </row>
    <row r="712" ht="15.75" customHeight="1">
      <c r="N712" s="10"/>
    </row>
    <row r="713" ht="15.75" customHeight="1">
      <c r="N713" s="10"/>
    </row>
    <row r="714" ht="15.75" customHeight="1">
      <c r="N714" s="10"/>
    </row>
    <row r="715" ht="15.75" customHeight="1">
      <c r="N715" s="10"/>
    </row>
    <row r="716" ht="15.75" customHeight="1">
      <c r="N716" s="10"/>
    </row>
    <row r="717" ht="15.75" customHeight="1">
      <c r="N717" s="10"/>
    </row>
    <row r="718" ht="15.75" customHeight="1">
      <c r="N718" s="10"/>
    </row>
    <row r="719" ht="15.75" customHeight="1">
      <c r="N719" s="10"/>
    </row>
    <row r="720" ht="15.75" customHeight="1">
      <c r="N720" s="10"/>
    </row>
    <row r="721" ht="15.75" customHeight="1">
      <c r="N721" s="10"/>
    </row>
    <row r="722" ht="15.75" customHeight="1">
      <c r="N722" s="10"/>
    </row>
    <row r="723" ht="15.75" customHeight="1">
      <c r="N723" s="10"/>
    </row>
    <row r="724" ht="15.75" customHeight="1">
      <c r="N724" s="10"/>
    </row>
    <row r="725" ht="15.75" customHeight="1">
      <c r="N725" s="10"/>
    </row>
    <row r="726" ht="15.75" customHeight="1">
      <c r="N726" s="10"/>
    </row>
    <row r="727" ht="15.75" customHeight="1">
      <c r="N727" s="10"/>
    </row>
    <row r="728" ht="15.75" customHeight="1">
      <c r="N728" s="10"/>
    </row>
    <row r="729" ht="15.75" customHeight="1">
      <c r="N729" s="10"/>
    </row>
    <row r="730" ht="15.75" customHeight="1">
      <c r="N730" s="10"/>
    </row>
    <row r="731" ht="15.75" customHeight="1">
      <c r="N731" s="10"/>
    </row>
    <row r="732" ht="15.75" customHeight="1">
      <c r="N732" s="10"/>
    </row>
    <row r="733" ht="15.75" customHeight="1">
      <c r="N733" s="10"/>
    </row>
    <row r="734" ht="15.75" customHeight="1">
      <c r="N734" s="10"/>
    </row>
    <row r="735" ht="15.75" customHeight="1">
      <c r="N735" s="10"/>
    </row>
    <row r="736" ht="15.75" customHeight="1">
      <c r="N736" s="10"/>
    </row>
    <row r="737" ht="15.75" customHeight="1">
      <c r="N737" s="10"/>
    </row>
    <row r="738" ht="15.75" customHeight="1">
      <c r="N738" s="10"/>
    </row>
    <row r="739" ht="15.75" customHeight="1">
      <c r="N739" s="10"/>
    </row>
    <row r="740" ht="15.75" customHeight="1">
      <c r="N740" s="10"/>
    </row>
    <row r="741" ht="15.75" customHeight="1">
      <c r="N741" s="10"/>
    </row>
    <row r="742" ht="15.75" customHeight="1">
      <c r="N742" s="10"/>
    </row>
    <row r="743" ht="15.75" customHeight="1">
      <c r="N743" s="10"/>
    </row>
    <row r="744" ht="15.75" customHeight="1">
      <c r="N744" s="10"/>
    </row>
    <row r="745" ht="15.75" customHeight="1">
      <c r="N745" s="10"/>
    </row>
    <row r="746" ht="15.75" customHeight="1">
      <c r="N746" s="10"/>
    </row>
    <row r="747" ht="15.75" customHeight="1">
      <c r="N747" s="10"/>
    </row>
    <row r="748" ht="15.75" customHeight="1">
      <c r="N748" s="10"/>
    </row>
    <row r="749" ht="15.75" customHeight="1">
      <c r="N749" s="10"/>
    </row>
    <row r="750" ht="15.75" customHeight="1">
      <c r="N750" s="10"/>
    </row>
    <row r="751" ht="15.75" customHeight="1">
      <c r="N751" s="10"/>
    </row>
    <row r="752" ht="15.75" customHeight="1">
      <c r="N752" s="10"/>
    </row>
    <row r="753" ht="15.75" customHeight="1">
      <c r="N753" s="10"/>
    </row>
    <row r="754" ht="15.75" customHeight="1">
      <c r="N754" s="10"/>
    </row>
    <row r="755" ht="15.75" customHeight="1">
      <c r="N755" s="10"/>
    </row>
    <row r="756" ht="15.75" customHeight="1">
      <c r="N756" s="10"/>
    </row>
    <row r="757" ht="15.75" customHeight="1">
      <c r="N757" s="10"/>
    </row>
    <row r="758" ht="15.75" customHeight="1">
      <c r="N758" s="10"/>
    </row>
    <row r="759" ht="15.75" customHeight="1">
      <c r="N759" s="10"/>
    </row>
    <row r="760" ht="15.75" customHeight="1">
      <c r="N760" s="10"/>
    </row>
    <row r="761" ht="15.75" customHeight="1">
      <c r="N761" s="10"/>
    </row>
    <row r="762" ht="15.75" customHeight="1">
      <c r="N762" s="10"/>
    </row>
    <row r="763" ht="15.75" customHeight="1">
      <c r="N763" s="10"/>
    </row>
    <row r="764" ht="15.75" customHeight="1">
      <c r="N764" s="10"/>
    </row>
    <row r="765" ht="15.75" customHeight="1">
      <c r="N765" s="10"/>
    </row>
    <row r="766" ht="15.75" customHeight="1">
      <c r="N766" s="10"/>
    </row>
    <row r="767" ht="15.75" customHeight="1">
      <c r="N767" s="10"/>
    </row>
    <row r="768" ht="15.75" customHeight="1">
      <c r="N768" s="10"/>
    </row>
    <row r="769" ht="15.75" customHeight="1">
      <c r="N769" s="10"/>
    </row>
    <row r="770" ht="15.75" customHeight="1">
      <c r="N770" s="10"/>
    </row>
    <row r="771" ht="15.75" customHeight="1">
      <c r="N771" s="10"/>
    </row>
    <row r="772" ht="15.75" customHeight="1">
      <c r="N772" s="10"/>
    </row>
    <row r="773" ht="15.75" customHeight="1">
      <c r="N773" s="10"/>
    </row>
    <row r="774" ht="15.75" customHeight="1">
      <c r="N774" s="10"/>
    </row>
    <row r="775" ht="15.75" customHeight="1">
      <c r="N775" s="10"/>
    </row>
    <row r="776" ht="15.75" customHeight="1">
      <c r="N776" s="10"/>
    </row>
    <row r="777" ht="15.75" customHeight="1">
      <c r="N777" s="10"/>
    </row>
    <row r="778" ht="15.75" customHeight="1">
      <c r="N778" s="10"/>
    </row>
    <row r="779" ht="15.75" customHeight="1">
      <c r="N779" s="10"/>
    </row>
    <row r="780" ht="15.75" customHeight="1">
      <c r="N780" s="10"/>
    </row>
    <row r="781" ht="15.75" customHeight="1">
      <c r="N781" s="10"/>
    </row>
    <row r="782" ht="15.75" customHeight="1">
      <c r="N782" s="10"/>
    </row>
    <row r="783" ht="15.75" customHeight="1">
      <c r="N783" s="10"/>
    </row>
    <row r="784" ht="15.75" customHeight="1">
      <c r="N784" s="10"/>
    </row>
    <row r="785" ht="15.75" customHeight="1">
      <c r="N785" s="10"/>
    </row>
    <row r="786" ht="15.75" customHeight="1">
      <c r="N786" s="10"/>
    </row>
    <row r="787" ht="15.75" customHeight="1">
      <c r="N787" s="10"/>
    </row>
    <row r="788" ht="15.75" customHeight="1">
      <c r="N788" s="10"/>
    </row>
    <row r="789" ht="15.75" customHeight="1">
      <c r="N789" s="10"/>
    </row>
    <row r="790" ht="15.75" customHeight="1">
      <c r="N790" s="10"/>
    </row>
    <row r="791" ht="15.75" customHeight="1">
      <c r="N791" s="10"/>
    </row>
    <row r="792" ht="15.75" customHeight="1">
      <c r="N792" s="10"/>
    </row>
    <row r="793" ht="15.75" customHeight="1">
      <c r="N793" s="10"/>
    </row>
    <row r="794" ht="15.75" customHeight="1">
      <c r="N794" s="10"/>
    </row>
    <row r="795" ht="15.75" customHeight="1">
      <c r="N795" s="10"/>
    </row>
    <row r="796" ht="15.75" customHeight="1">
      <c r="N796" s="10"/>
    </row>
    <row r="797" ht="15.75" customHeight="1">
      <c r="N797" s="10"/>
    </row>
    <row r="798" ht="15.75" customHeight="1">
      <c r="N798" s="10"/>
    </row>
    <row r="799" ht="15.75" customHeight="1">
      <c r="N799" s="10"/>
    </row>
    <row r="800" ht="15.75" customHeight="1">
      <c r="N800" s="10"/>
    </row>
    <row r="801" ht="15.75" customHeight="1">
      <c r="N801" s="10"/>
    </row>
    <row r="802" ht="15.75" customHeight="1">
      <c r="N802" s="10"/>
    </row>
    <row r="803" ht="15.75" customHeight="1">
      <c r="N803" s="10"/>
    </row>
    <row r="804" ht="15.75" customHeight="1">
      <c r="N804" s="10"/>
    </row>
    <row r="805" ht="15.75" customHeight="1">
      <c r="N805" s="10"/>
    </row>
    <row r="806" ht="15.75" customHeight="1">
      <c r="N806" s="10"/>
    </row>
    <row r="807" ht="15.75" customHeight="1">
      <c r="N807" s="10"/>
    </row>
    <row r="808" ht="15.75" customHeight="1">
      <c r="N808" s="10"/>
    </row>
    <row r="809" ht="15.75" customHeight="1">
      <c r="N809" s="10"/>
    </row>
    <row r="810" ht="15.75" customHeight="1">
      <c r="N810" s="10"/>
    </row>
    <row r="811" ht="15.75" customHeight="1">
      <c r="N811" s="10"/>
    </row>
    <row r="812" ht="15.75" customHeight="1">
      <c r="N812" s="10"/>
    </row>
    <row r="813" ht="15.75" customHeight="1">
      <c r="N813" s="10"/>
    </row>
    <row r="814" ht="15.75" customHeight="1">
      <c r="N814" s="10"/>
    </row>
    <row r="815" ht="15.75" customHeight="1">
      <c r="N815" s="10"/>
    </row>
    <row r="816" ht="15.75" customHeight="1">
      <c r="N816" s="10"/>
    </row>
    <row r="817" ht="15.75" customHeight="1">
      <c r="N817" s="10"/>
    </row>
    <row r="818" ht="15.75" customHeight="1">
      <c r="N818" s="10"/>
    </row>
    <row r="819" ht="15.75" customHeight="1">
      <c r="N819" s="10"/>
    </row>
    <row r="820" ht="15.75" customHeight="1">
      <c r="N820" s="10"/>
    </row>
    <row r="821" ht="15.75" customHeight="1">
      <c r="N821" s="10"/>
    </row>
    <row r="822" ht="15.75" customHeight="1">
      <c r="N822" s="10"/>
    </row>
    <row r="823" ht="15.75" customHeight="1">
      <c r="N823" s="10"/>
    </row>
    <row r="824" ht="15.75" customHeight="1">
      <c r="N824" s="10"/>
    </row>
    <row r="825" ht="15.75" customHeight="1">
      <c r="N825" s="10"/>
    </row>
    <row r="826" ht="15.75" customHeight="1">
      <c r="N826" s="10"/>
    </row>
    <row r="827" ht="15.75" customHeight="1">
      <c r="N827" s="10"/>
    </row>
    <row r="828" ht="15.75" customHeight="1">
      <c r="N828" s="10"/>
    </row>
    <row r="829" ht="15.75" customHeight="1">
      <c r="N829" s="10"/>
    </row>
    <row r="830" ht="15.75" customHeight="1">
      <c r="N830" s="10"/>
    </row>
    <row r="831" ht="15.75" customHeight="1">
      <c r="N831" s="10"/>
    </row>
    <row r="832" ht="15.75" customHeight="1">
      <c r="N832" s="10"/>
    </row>
    <row r="833" ht="15.75" customHeight="1">
      <c r="N833" s="10"/>
    </row>
    <row r="834" ht="15.75" customHeight="1">
      <c r="N834" s="10"/>
    </row>
    <row r="835" ht="15.75" customHeight="1">
      <c r="N835" s="10"/>
    </row>
    <row r="836" ht="15.75" customHeight="1">
      <c r="N836" s="10"/>
    </row>
    <row r="837" ht="15.75" customHeight="1">
      <c r="N837" s="10"/>
    </row>
    <row r="838" ht="15.75" customHeight="1">
      <c r="N838" s="10"/>
    </row>
    <row r="839" ht="15.75" customHeight="1">
      <c r="N839" s="10"/>
    </row>
    <row r="840" ht="15.75" customHeight="1">
      <c r="N840" s="10"/>
    </row>
    <row r="841" ht="15.75" customHeight="1">
      <c r="N841" s="10"/>
    </row>
    <row r="842" ht="15.75" customHeight="1">
      <c r="N842" s="10"/>
    </row>
    <row r="843" ht="15.75" customHeight="1">
      <c r="N843" s="10"/>
    </row>
    <row r="844" ht="15.75" customHeight="1">
      <c r="N844" s="10"/>
    </row>
    <row r="845" ht="15.75" customHeight="1">
      <c r="N845" s="10"/>
    </row>
    <row r="846" ht="15.75" customHeight="1">
      <c r="N846" s="10"/>
    </row>
    <row r="847" ht="15.75" customHeight="1">
      <c r="N847" s="10"/>
    </row>
    <row r="848" ht="15.75" customHeight="1">
      <c r="N848" s="10"/>
    </row>
    <row r="849" ht="15.75" customHeight="1">
      <c r="N849" s="10"/>
    </row>
    <row r="850" ht="15.75" customHeight="1">
      <c r="N850" s="10"/>
    </row>
    <row r="851" ht="15.75" customHeight="1">
      <c r="N851" s="10"/>
    </row>
    <row r="852" ht="15.75" customHeight="1">
      <c r="N852" s="10"/>
    </row>
    <row r="853" ht="15.75" customHeight="1">
      <c r="N853" s="10"/>
    </row>
    <row r="854" ht="15.75" customHeight="1">
      <c r="N854" s="10"/>
    </row>
    <row r="855" ht="15.75" customHeight="1">
      <c r="N855" s="10"/>
    </row>
    <row r="856" ht="15.75" customHeight="1">
      <c r="N856" s="10"/>
    </row>
    <row r="857" ht="15.75" customHeight="1">
      <c r="N857" s="10"/>
    </row>
    <row r="858" ht="15.75" customHeight="1">
      <c r="N858" s="10"/>
    </row>
    <row r="859" ht="15.75" customHeight="1">
      <c r="N859" s="10"/>
    </row>
    <row r="860" ht="15.75" customHeight="1">
      <c r="N860" s="10"/>
    </row>
    <row r="861" ht="15.75" customHeight="1">
      <c r="N861" s="10"/>
    </row>
    <row r="862" ht="15.75" customHeight="1">
      <c r="N862" s="10"/>
    </row>
    <row r="863" ht="15.75" customHeight="1">
      <c r="N863" s="10"/>
    </row>
    <row r="864" ht="15.75" customHeight="1">
      <c r="N864" s="10"/>
    </row>
    <row r="865" ht="15.75" customHeight="1">
      <c r="N865" s="10"/>
    </row>
    <row r="866" ht="15.75" customHeight="1">
      <c r="N866" s="10"/>
    </row>
    <row r="867" ht="15.75" customHeight="1">
      <c r="N867" s="10"/>
    </row>
    <row r="868" ht="15.75" customHeight="1">
      <c r="N868" s="10"/>
    </row>
    <row r="869" ht="15.75" customHeight="1">
      <c r="N869" s="10"/>
    </row>
    <row r="870" ht="15.75" customHeight="1">
      <c r="N870" s="10"/>
    </row>
    <row r="871" ht="15.75" customHeight="1">
      <c r="N871" s="10"/>
    </row>
    <row r="872" ht="15.75" customHeight="1">
      <c r="N872" s="10"/>
    </row>
    <row r="873" ht="15.75" customHeight="1">
      <c r="N873" s="10"/>
    </row>
    <row r="874" ht="15.75" customHeight="1">
      <c r="N874" s="10"/>
    </row>
    <row r="875" ht="15.75" customHeight="1">
      <c r="N875" s="10"/>
    </row>
    <row r="876" ht="15.75" customHeight="1">
      <c r="N876" s="10"/>
    </row>
    <row r="877" ht="15.75" customHeight="1">
      <c r="N877" s="10"/>
    </row>
    <row r="878" ht="15.75" customHeight="1">
      <c r="N878" s="10"/>
    </row>
    <row r="879" ht="15.75" customHeight="1">
      <c r="N879" s="10"/>
    </row>
    <row r="880" ht="15.75" customHeight="1">
      <c r="N880" s="10"/>
    </row>
    <row r="881" ht="15.75" customHeight="1">
      <c r="N881" s="10"/>
    </row>
    <row r="882" ht="15.75" customHeight="1">
      <c r="N882" s="10"/>
    </row>
    <row r="883" ht="15.75" customHeight="1">
      <c r="N883" s="10"/>
    </row>
    <row r="884" ht="15.75" customHeight="1">
      <c r="N884" s="10"/>
    </row>
    <row r="885" ht="15.75" customHeight="1">
      <c r="N885" s="10"/>
    </row>
    <row r="886" ht="15.75" customHeight="1">
      <c r="N886" s="10"/>
    </row>
    <row r="887" ht="15.75" customHeight="1">
      <c r="N887" s="10"/>
    </row>
    <row r="888" ht="15.75" customHeight="1">
      <c r="N888" s="10"/>
    </row>
    <row r="889" ht="15.75" customHeight="1">
      <c r="N889" s="10"/>
    </row>
    <row r="890" ht="15.75" customHeight="1">
      <c r="N890" s="10"/>
    </row>
    <row r="891" ht="15.75" customHeight="1">
      <c r="N891" s="10"/>
    </row>
    <row r="892" ht="15.75" customHeight="1">
      <c r="N892" s="10"/>
    </row>
    <row r="893" ht="15.75" customHeight="1">
      <c r="N893" s="10"/>
    </row>
    <row r="894" ht="15.75" customHeight="1">
      <c r="N894" s="10"/>
    </row>
    <row r="895" ht="15.75" customHeight="1">
      <c r="N895" s="10"/>
    </row>
    <row r="896" ht="15.75" customHeight="1">
      <c r="N896" s="10"/>
    </row>
    <row r="897" ht="15.75" customHeight="1">
      <c r="N897" s="10"/>
    </row>
    <row r="898" ht="15.75" customHeight="1">
      <c r="N898" s="10"/>
    </row>
    <row r="899" ht="15.75" customHeight="1">
      <c r="N899" s="10"/>
    </row>
    <row r="900" ht="15.75" customHeight="1">
      <c r="N900" s="10"/>
    </row>
    <row r="901" ht="15.75" customHeight="1">
      <c r="N901" s="10"/>
    </row>
    <row r="902" ht="15.75" customHeight="1">
      <c r="N902" s="10"/>
    </row>
    <row r="903" ht="15.75" customHeight="1">
      <c r="N903" s="10"/>
    </row>
    <row r="904" ht="15.75" customHeight="1">
      <c r="N904" s="10"/>
    </row>
    <row r="905" ht="15.75" customHeight="1">
      <c r="N905" s="10"/>
    </row>
    <row r="906" ht="15.75" customHeight="1">
      <c r="N906" s="10"/>
    </row>
    <row r="907" ht="15.75" customHeight="1">
      <c r="N907" s="10"/>
    </row>
    <row r="908" ht="15.75" customHeight="1">
      <c r="N908" s="10"/>
    </row>
    <row r="909" ht="15.75" customHeight="1">
      <c r="N909" s="10"/>
    </row>
    <row r="910" ht="15.75" customHeight="1">
      <c r="N910" s="10"/>
    </row>
    <row r="911" ht="15.75" customHeight="1">
      <c r="N911" s="10"/>
    </row>
    <row r="912" ht="15.75" customHeight="1">
      <c r="N912" s="10"/>
    </row>
    <row r="913" ht="15.75" customHeight="1">
      <c r="N913" s="10"/>
    </row>
    <row r="914" ht="15.75" customHeight="1">
      <c r="N914" s="10"/>
    </row>
    <row r="915" ht="15.75" customHeight="1">
      <c r="N915" s="10"/>
    </row>
    <row r="916" ht="15.75" customHeight="1">
      <c r="N916" s="10"/>
    </row>
    <row r="917" ht="15.75" customHeight="1">
      <c r="N917" s="10"/>
    </row>
    <row r="918" ht="15.75" customHeight="1">
      <c r="N918" s="10"/>
    </row>
    <row r="919" ht="15.75" customHeight="1">
      <c r="N919" s="10"/>
    </row>
    <row r="920" ht="15.75" customHeight="1">
      <c r="N920" s="10"/>
    </row>
    <row r="921" ht="15.75" customHeight="1">
      <c r="N921" s="10"/>
    </row>
    <row r="922" ht="15.75" customHeight="1">
      <c r="N922" s="10"/>
    </row>
    <row r="923" ht="15.75" customHeight="1">
      <c r="N923" s="10"/>
    </row>
    <row r="924" ht="15.75" customHeight="1">
      <c r="N924" s="10"/>
    </row>
    <row r="925" ht="15.75" customHeight="1">
      <c r="N925" s="10"/>
    </row>
    <row r="926" ht="15.75" customHeight="1">
      <c r="N926" s="10"/>
    </row>
    <row r="927" ht="15.75" customHeight="1">
      <c r="N927" s="10"/>
    </row>
    <row r="928" ht="15.75" customHeight="1">
      <c r="N928" s="10"/>
    </row>
    <row r="929" ht="15.75" customHeight="1">
      <c r="N929" s="10"/>
    </row>
    <row r="930" ht="15.75" customHeight="1">
      <c r="N930" s="10"/>
    </row>
    <row r="931" ht="15.75" customHeight="1">
      <c r="N931" s="10"/>
    </row>
    <row r="932" ht="15.75" customHeight="1">
      <c r="N932" s="10"/>
    </row>
    <row r="933" ht="15.75" customHeight="1">
      <c r="N933" s="10"/>
    </row>
    <row r="934" ht="15.75" customHeight="1">
      <c r="N934" s="10"/>
    </row>
    <row r="935" ht="15.75" customHeight="1">
      <c r="N935" s="10"/>
    </row>
    <row r="936" ht="15.75" customHeight="1">
      <c r="N936" s="10"/>
    </row>
    <row r="937" ht="15.75" customHeight="1">
      <c r="N937" s="10"/>
    </row>
    <row r="938" ht="15.75" customHeight="1">
      <c r="N938" s="10"/>
    </row>
    <row r="939" ht="15.75" customHeight="1">
      <c r="N939" s="10"/>
    </row>
    <row r="940" ht="15.75" customHeight="1">
      <c r="N940" s="10"/>
    </row>
    <row r="941" ht="15.75" customHeight="1">
      <c r="N941" s="10"/>
    </row>
    <row r="942" ht="15.75" customHeight="1">
      <c r="N942" s="10"/>
    </row>
    <row r="943" ht="15.75" customHeight="1">
      <c r="N943" s="10"/>
    </row>
    <row r="944" ht="15.75" customHeight="1">
      <c r="N944" s="10"/>
    </row>
    <row r="945" ht="15.75" customHeight="1">
      <c r="N945" s="10"/>
    </row>
    <row r="946" ht="15.75" customHeight="1">
      <c r="N946" s="10"/>
    </row>
    <row r="947" ht="15.75" customHeight="1">
      <c r="N947" s="10"/>
    </row>
    <row r="948" ht="15.75" customHeight="1">
      <c r="N948" s="10"/>
    </row>
    <row r="949" ht="15.75" customHeight="1">
      <c r="N949" s="10"/>
    </row>
    <row r="950" ht="15.75" customHeight="1">
      <c r="N950" s="10"/>
    </row>
    <row r="951" ht="15.75" customHeight="1">
      <c r="N951" s="10"/>
    </row>
    <row r="952" ht="15.75" customHeight="1">
      <c r="N952" s="10"/>
    </row>
    <row r="953" ht="15.75" customHeight="1">
      <c r="N953" s="10"/>
    </row>
    <row r="954" ht="15.75" customHeight="1">
      <c r="N954" s="10"/>
    </row>
    <row r="955" ht="15.75" customHeight="1">
      <c r="N955" s="10"/>
    </row>
    <row r="956" ht="15.75" customHeight="1">
      <c r="N956" s="10"/>
    </row>
    <row r="957" ht="15.75" customHeight="1">
      <c r="N957" s="10"/>
    </row>
    <row r="958" ht="15.75" customHeight="1">
      <c r="N958" s="10"/>
    </row>
    <row r="959" ht="15.75" customHeight="1">
      <c r="N959" s="10"/>
    </row>
    <row r="960" ht="15.75" customHeight="1">
      <c r="N960" s="10"/>
    </row>
    <row r="961" ht="15.75" customHeight="1">
      <c r="N961" s="10"/>
    </row>
    <row r="962" ht="15.75" customHeight="1">
      <c r="N962" s="10"/>
    </row>
    <row r="963" ht="15.75" customHeight="1">
      <c r="N963" s="10"/>
    </row>
    <row r="964" ht="15.75" customHeight="1">
      <c r="N964" s="10"/>
    </row>
    <row r="965" ht="15.75" customHeight="1">
      <c r="N965" s="10"/>
    </row>
    <row r="966" ht="15.75" customHeight="1">
      <c r="N966" s="10"/>
    </row>
    <row r="967" ht="15.75" customHeight="1">
      <c r="N967" s="10"/>
    </row>
    <row r="968" ht="15.75" customHeight="1">
      <c r="N968" s="10"/>
    </row>
    <row r="969" ht="15.75" customHeight="1">
      <c r="N969" s="10"/>
    </row>
    <row r="970" ht="15.75" customHeight="1">
      <c r="N970" s="10"/>
    </row>
    <row r="971" ht="15.75" customHeight="1">
      <c r="N971" s="10"/>
    </row>
    <row r="972" ht="15.75" customHeight="1">
      <c r="N972" s="10"/>
    </row>
    <row r="973" ht="15.75" customHeight="1">
      <c r="N973" s="10"/>
    </row>
    <row r="974" ht="15.75" customHeight="1">
      <c r="N974" s="10"/>
    </row>
    <row r="975" ht="15.75" customHeight="1">
      <c r="N975" s="10"/>
    </row>
    <row r="976" ht="15.75" customHeight="1">
      <c r="N976" s="10"/>
    </row>
    <row r="977" ht="15.75" customHeight="1">
      <c r="N977" s="10"/>
    </row>
    <row r="978" ht="15.75" customHeight="1">
      <c r="N978" s="10"/>
    </row>
    <row r="979" ht="15.75" customHeight="1">
      <c r="N979" s="10"/>
    </row>
    <row r="980" ht="15.75" customHeight="1">
      <c r="N980" s="10"/>
    </row>
    <row r="981" ht="15.75" customHeight="1">
      <c r="N981" s="10"/>
    </row>
    <row r="982" ht="15.75" customHeight="1">
      <c r="N982" s="10"/>
    </row>
    <row r="983" ht="15.75" customHeight="1">
      <c r="N983" s="10"/>
    </row>
    <row r="984" ht="15.75" customHeight="1">
      <c r="N984" s="10"/>
    </row>
    <row r="985" ht="15.75" customHeight="1">
      <c r="N985" s="10"/>
    </row>
    <row r="986" ht="15.75" customHeight="1">
      <c r="N986" s="10"/>
    </row>
    <row r="987" ht="15.75" customHeight="1">
      <c r="N987" s="10"/>
    </row>
    <row r="988" ht="15.75" customHeight="1">
      <c r="N988" s="10"/>
    </row>
    <row r="989" ht="15.75" customHeight="1">
      <c r="N989" s="10"/>
    </row>
    <row r="990" ht="15.75" customHeight="1">
      <c r="N990" s="10"/>
    </row>
    <row r="991" ht="15.75" customHeight="1">
      <c r="N991" s="10"/>
    </row>
    <row r="992" ht="15.75" customHeight="1">
      <c r="N992" s="10"/>
    </row>
    <row r="993" ht="15.75" customHeight="1">
      <c r="N993" s="10"/>
    </row>
    <row r="994" ht="15.75" customHeight="1">
      <c r="N994" s="10"/>
    </row>
    <row r="995" ht="15.75" customHeight="1">
      <c r="N995" s="10"/>
    </row>
    <row r="996" ht="15.75" customHeight="1">
      <c r="N996" s="10"/>
    </row>
    <row r="997" ht="15.75" customHeight="1">
      <c r="N997" s="10"/>
    </row>
    <row r="998" ht="15.75" customHeight="1">
      <c r="N998" s="10"/>
    </row>
    <row r="999" ht="15.75" customHeight="1">
      <c r="N999" s="10"/>
    </row>
    <row r="1000" ht="15.75" customHeight="1">
      <c r="N1000" s="10"/>
    </row>
  </sheetData>
  <mergeCells count="4">
    <mergeCell ref="D5:E5"/>
    <mergeCell ref="D16:E16"/>
    <mergeCell ref="D29:E29"/>
    <mergeCell ref="N31:O3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4" width="11.43"/>
    <col customWidth="1" min="5" max="5" width="11.71"/>
    <col customWidth="1" min="6" max="7" width="8.86"/>
    <col customWidth="1" min="8" max="8" width="9.57"/>
    <col customWidth="1" min="9" max="14" width="8.71"/>
    <col customWidth="1" min="15" max="15" width="12.43"/>
    <col customWidth="1" min="16" max="18" width="9.43"/>
    <col customWidth="1" min="19" max="19" width="9.29"/>
    <col customWidth="1" min="20" max="23" width="8.71"/>
    <col customWidth="1" min="24" max="24" width="8.86"/>
    <col customWidth="1" min="25" max="27" width="8.71"/>
    <col customWidth="1" min="28" max="28" width="12.29"/>
  </cols>
  <sheetData>
    <row r="1">
      <c r="B1" s="5"/>
      <c r="F1" s="60"/>
      <c r="G1" s="60"/>
      <c r="H1" s="60"/>
      <c r="K1" s="265" t="s">
        <v>229</v>
      </c>
      <c r="L1" s="266"/>
      <c r="M1" s="266"/>
      <c r="N1" s="1" t="s">
        <v>289</v>
      </c>
      <c r="O1" s="61"/>
      <c r="Q1" s="265" t="s">
        <v>230</v>
      </c>
      <c r="R1" s="266"/>
      <c r="S1" s="266"/>
      <c r="T1" s="1" t="s">
        <v>64</v>
      </c>
      <c r="W1" s="265" t="s">
        <v>229</v>
      </c>
      <c r="X1" s="266"/>
      <c r="Y1" s="266"/>
      <c r="Z1" s="1" t="s">
        <v>64</v>
      </c>
      <c r="AB1" s="10"/>
    </row>
    <row r="2">
      <c r="B2" s="5"/>
      <c r="F2" s="60"/>
      <c r="G2" s="60"/>
      <c r="H2" s="62"/>
      <c r="K2" s="23" t="s">
        <v>0</v>
      </c>
      <c r="L2" s="23" t="s">
        <v>25</v>
      </c>
      <c r="M2" s="63" t="s">
        <v>32</v>
      </c>
      <c r="N2" s="63" t="s">
        <v>27</v>
      </c>
      <c r="O2" s="61"/>
      <c r="Q2" s="23" t="s">
        <v>0</v>
      </c>
      <c r="R2" s="23" t="s">
        <v>25</v>
      </c>
      <c r="S2" s="63" t="s">
        <v>32</v>
      </c>
      <c r="T2" s="63" t="s">
        <v>27</v>
      </c>
      <c r="W2" s="23" t="s">
        <v>0</v>
      </c>
      <c r="X2" s="23" t="s">
        <v>25</v>
      </c>
      <c r="Y2" s="63" t="s">
        <v>32</v>
      </c>
      <c r="Z2" s="63" t="s">
        <v>27</v>
      </c>
      <c r="AA2" s="63" t="s">
        <v>32</v>
      </c>
      <c r="AB2" s="10" t="s">
        <v>290</v>
      </c>
    </row>
    <row r="3">
      <c r="B3" s="5"/>
      <c r="F3" s="60"/>
      <c r="G3" s="60"/>
      <c r="H3" s="62"/>
      <c r="J3" s="10">
        <v>100.0</v>
      </c>
      <c r="K3" s="23"/>
      <c r="L3" s="23">
        <f t="shared" ref="L3:L6" si="1">K3*50</f>
        <v>0</v>
      </c>
      <c r="M3" s="23">
        <v>100.0</v>
      </c>
      <c r="N3" s="34">
        <f t="shared" ref="N3:N6" si="2">(L3-0.0243)/0.0772</f>
        <v>-0.3147668394</v>
      </c>
      <c r="O3" s="61"/>
      <c r="Q3" s="23"/>
      <c r="R3" s="23">
        <f t="shared" ref="R3:R6" si="3">Q3*50</f>
        <v>0</v>
      </c>
      <c r="S3" s="23">
        <v>100.0</v>
      </c>
      <c r="T3" s="34">
        <f t="shared" ref="T3:T6" si="4">(R3-0.0243)/0.0772</f>
        <v>-0.3147668394</v>
      </c>
      <c r="W3" s="23"/>
      <c r="X3" s="23">
        <f t="shared" ref="X3:X6" si="5">W3*50</f>
        <v>0</v>
      </c>
      <c r="Y3" s="23">
        <v>100.0</v>
      </c>
      <c r="Z3" s="34">
        <f t="shared" ref="Z3:Z6" si="6">(X3-0.0243)/0.0772</f>
        <v>-0.3147668394</v>
      </c>
      <c r="AA3" s="23">
        <v>100.0</v>
      </c>
      <c r="AB3" s="141">
        <f t="shared" ref="AB3:AB6" si="7">AVERAGE(N3,T3,Z3)</f>
        <v>-0.3147668394</v>
      </c>
    </row>
    <row r="4">
      <c r="A4" s="10"/>
      <c r="B4" s="269" t="s">
        <v>66</v>
      </c>
      <c r="C4" s="10"/>
      <c r="D4" s="10"/>
      <c r="E4" s="10"/>
      <c r="F4" s="155"/>
      <c r="G4" s="155"/>
      <c r="H4" s="155"/>
      <c r="I4" s="10"/>
      <c r="J4" s="10">
        <v>200.0</v>
      </c>
      <c r="K4" s="9"/>
      <c r="L4" s="9">
        <f t="shared" si="1"/>
        <v>0</v>
      </c>
      <c r="M4" s="9">
        <v>200.0</v>
      </c>
      <c r="N4" s="11">
        <f t="shared" si="2"/>
        <v>-0.3147668394</v>
      </c>
      <c r="O4" s="10"/>
      <c r="P4" s="10"/>
      <c r="Q4" s="9"/>
      <c r="R4" s="9">
        <f t="shared" si="3"/>
        <v>0</v>
      </c>
      <c r="S4" s="9">
        <v>200.0</v>
      </c>
      <c r="T4" s="11">
        <f t="shared" si="4"/>
        <v>-0.3147668394</v>
      </c>
      <c r="U4" s="10"/>
      <c r="V4" s="10"/>
      <c r="W4" s="9"/>
      <c r="X4" s="9">
        <f t="shared" si="5"/>
        <v>0</v>
      </c>
      <c r="Y4" s="9">
        <v>200.0</v>
      </c>
      <c r="Z4" s="11">
        <f t="shared" si="6"/>
        <v>-0.3147668394</v>
      </c>
      <c r="AA4" s="9">
        <v>200.0</v>
      </c>
      <c r="AB4" s="141">
        <f t="shared" si="7"/>
        <v>-0.3147668394</v>
      </c>
    </row>
    <row r="5">
      <c r="B5" s="5"/>
      <c r="F5" s="60"/>
      <c r="G5" s="60"/>
      <c r="H5" s="62"/>
      <c r="J5" s="10">
        <v>300.0</v>
      </c>
      <c r="K5" s="23"/>
      <c r="L5" s="23">
        <f t="shared" si="1"/>
        <v>0</v>
      </c>
      <c r="M5" s="23">
        <v>300.0</v>
      </c>
      <c r="N5" s="34">
        <f t="shared" si="2"/>
        <v>-0.3147668394</v>
      </c>
      <c r="O5" s="61"/>
      <c r="Q5" s="23"/>
      <c r="R5" s="23">
        <f t="shared" si="3"/>
        <v>0</v>
      </c>
      <c r="S5" s="23">
        <v>300.0</v>
      </c>
      <c r="T5" s="34">
        <f t="shared" si="4"/>
        <v>-0.3147668394</v>
      </c>
      <c r="W5" s="23"/>
      <c r="X5" s="23">
        <f t="shared" si="5"/>
        <v>0</v>
      </c>
      <c r="Y5" s="23">
        <v>300.0</v>
      </c>
      <c r="Z5" s="34">
        <f t="shared" si="6"/>
        <v>-0.3147668394</v>
      </c>
      <c r="AA5" s="23">
        <v>300.0</v>
      </c>
      <c r="AB5" s="141">
        <f t="shared" si="7"/>
        <v>-0.3147668394</v>
      </c>
    </row>
    <row r="6">
      <c r="B6" s="5"/>
      <c r="F6" s="60"/>
      <c r="G6" s="60"/>
      <c r="H6" s="62"/>
      <c r="J6" s="10">
        <v>400.0</v>
      </c>
      <c r="K6" s="23"/>
      <c r="L6" s="23">
        <f t="shared" si="1"/>
        <v>0</v>
      </c>
      <c r="M6" s="23">
        <v>400.0</v>
      </c>
      <c r="N6" s="34">
        <f t="shared" si="2"/>
        <v>-0.3147668394</v>
      </c>
      <c r="O6" s="61"/>
      <c r="Q6" s="23"/>
      <c r="R6" s="23">
        <f t="shared" si="3"/>
        <v>0</v>
      </c>
      <c r="S6" s="23">
        <v>400.0</v>
      </c>
      <c r="T6" s="34">
        <f t="shared" si="4"/>
        <v>-0.3147668394</v>
      </c>
      <c r="W6" s="23"/>
      <c r="X6" s="23">
        <f t="shared" si="5"/>
        <v>0</v>
      </c>
      <c r="Y6" s="23">
        <v>400.0</v>
      </c>
      <c r="Z6" s="34">
        <f t="shared" si="6"/>
        <v>-0.3147668394</v>
      </c>
      <c r="AA6" s="23">
        <v>400.0</v>
      </c>
      <c r="AB6" s="141">
        <f t="shared" si="7"/>
        <v>-0.3147668394</v>
      </c>
    </row>
    <row r="7">
      <c r="B7" s="5"/>
      <c r="F7" s="60"/>
      <c r="G7" s="60"/>
      <c r="H7" s="60"/>
      <c r="I7" s="5"/>
      <c r="J7" s="5"/>
      <c r="K7" s="5"/>
      <c r="L7" s="5"/>
      <c r="M7" s="5"/>
      <c r="N7" s="65"/>
      <c r="O7" s="61"/>
      <c r="R7" s="5"/>
      <c r="S7" s="5"/>
      <c r="T7" s="65"/>
      <c r="X7" s="61"/>
      <c r="AB7" s="10"/>
    </row>
    <row r="8">
      <c r="B8" s="5"/>
      <c r="F8" s="60"/>
      <c r="G8" s="60"/>
      <c r="H8" s="60"/>
      <c r="I8" s="5"/>
      <c r="J8" s="5"/>
      <c r="K8" s="5"/>
      <c r="L8" s="5"/>
      <c r="M8" s="5"/>
      <c r="N8" s="65"/>
      <c r="O8" s="61"/>
      <c r="X8" s="61"/>
      <c r="AB8" s="10"/>
    </row>
    <row r="9">
      <c r="B9" s="5"/>
      <c r="F9" s="60"/>
      <c r="G9" s="60"/>
      <c r="H9" s="60"/>
      <c r="I9" s="5"/>
      <c r="J9" s="5"/>
      <c r="K9" s="5"/>
      <c r="L9" s="5"/>
      <c r="M9" s="5"/>
      <c r="N9" s="65"/>
      <c r="O9" s="61"/>
      <c r="X9" s="61"/>
      <c r="AB9" s="10"/>
    </row>
    <row r="10">
      <c r="B10" s="5"/>
      <c r="F10" s="60"/>
      <c r="G10" s="60"/>
      <c r="H10" s="60"/>
      <c r="I10" s="5"/>
      <c r="J10" s="5"/>
      <c r="K10" s="5"/>
      <c r="L10" s="5"/>
      <c r="M10" s="5"/>
      <c r="N10" s="65"/>
      <c r="O10" s="61"/>
      <c r="W10" s="5"/>
      <c r="AB10" s="10"/>
    </row>
    <row r="11">
      <c r="B11" s="67" t="s">
        <v>68</v>
      </c>
      <c r="F11" s="60"/>
      <c r="G11" s="60"/>
      <c r="H11" s="60"/>
      <c r="O11" s="61"/>
      <c r="P11" s="7" t="s">
        <v>288</v>
      </c>
      <c r="Q11" s="27"/>
      <c r="R11" s="8"/>
      <c r="U11" s="5"/>
      <c r="V11" s="5"/>
      <c r="W11" s="6"/>
      <c r="X11" s="61"/>
      <c r="AB11" s="10"/>
    </row>
    <row r="12">
      <c r="B12" s="17" t="s">
        <v>291</v>
      </c>
      <c r="C12" s="27"/>
      <c r="D12" s="27"/>
      <c r="E12" s="8"/>
      <c r="F12" s="60"/>
      <c r="G12" s="60"/>
      <c r="H12" s="60"/>
      <c r="O12" s="61"/>
      <c r="X12" s="61"/>
      <c r="AB12" s="10"/>
    </row>
    <row r="13">
      <c r="B13" s="5"/>
      <c r="F13" s="60"/>
      <c r="G13" s="60"/>
      <c r="H13" s="60"/>
      <c r="O13" s="61"/>
      <c r="X13" s="61"/>
      <c r="AB13" s="10"/>
    </row>
    <row r="14">
      <c r="B14" s="48" t="s">
        <v>70</v>
      </c>
      <c r="C14" s="49" t="s">
        <v>5</v>
      </c>
      <c r="D14" s="27"/>
      <c r="E14" s="8"/>
      <c r="F14" s="68" t="s">
        <v>6</v>
      </c>
      <c r="G14" s="27"/>
      <c r="H14" s="8"/>
      <c r="I14" s="49" t="s">
        <v>36</v>
      </c>
      <c r="J14" s="27"/>
      <c r="K14" s="8"/>
      <c r="L14" s="49" t="s">
        <v>37</v>
      </c>
      <c r="M14" s="27"/>
      <c r="N14" s="8"/>
      <c r="O14" s="50" t="s">
        <v>7</v>
      </c>
      <c r="P14" s="49" t="s">
        <v>9</v>
      </c>
      <c r="Q14" s="27"/>
      <c r="R14" s="8"/>
      <c r="S14" s="51" t="s">
        <v>10</v>
      </c>
      <c r="T14" s="50" t="s">
        <v>57</v>
      </c>
      <c r="U14" s="49" t="s">
        <v>11</v>
      </c>
      <c r="V14" s="27"/>
      <c r="W14" s="8"/>
      <c r="X14" s="50" t="s">
        <v>12</v>
      </c>
      <c r="Y14" s="50" t="s">
        <v>57</v>
      </c>
      <c r="AB14" s="10"/>
    </row>
    <row r="15">
      <c r="B15" s="22">
        <v>100.0</v>
      </c>
      <c r="C15" s="43">
        <v>0.1009</v>
      </c>
      <c r="D15" s="43">
        <v>0.1004</v>
      </c>
      <c r="E15" s="43">
        <v>0.1001</v>
      </c>
      <c r="F15" s="20">
        <v>0.0173</v>
      </c>
      <c r="G15" s="20">
        <v>0.0189</v>
      </c>
      <c r="H15" s="20"/>
      <c r="I15" s="11">
        <f t="shared" ref="I15:J15" si="8">F15*50</f>
        <v>0.865</v>
      </c>
      <c r="J15" s="11">
        <f t="shared" si="8"/>
        <v>0.945</v>
      </c>
      <c r="K15" s="11"/>
      <c r="L15" s="11">
        <f t="shared" ref="L15:M15" si="9">(I15-0.0243)/0.0772</f>
        <v>10.88989637</v>
      </c>
      <c r="M15" s="11">
        <f t="shared" si="9"/>
        <v>11.9261658</v>
      </c>
      <c r="N15" s="11"/>
      <c r="O15" s="11">
        <f>AVERAGE(L15:M15)</f>
        <v>11.40803109</v>
      </c>
      <c r="P15" s="11">
        <f t="shared" ref="P15:Q15" si="10">(($AA$3-L15)/$AA$3)*100</f>
        <v>89.11010363</v>
      </c>
      <c r="Q15" s="11">
        <f t="shared" si="10"/>
        <v>88.0738342</v>
      </c>
      <c r="R15" s="11"/>
      <c r="S15" s="14">
        <f>(P15+Q15)/2</f>
        <v>88.59196891</v>
      </c>
      <c r="T15" s="11">
        <f>STDEV(P15:Q15)</f>
        <v>0.7327531411</v>
      </c>
      <c r="U15" s="11">
        <f t="shared" ref="U15:V15" si="11">(($AA$3-L15)/C15)*0.02</f>
        <v>17.66305325</v>
      </c>
      <c r="V15" s="11">
        <f t="shared" si="11"/>
        <v>17.54458849</v>
      </c>
      <c r="W15" s="11"/>
      <c r="X15" s="11">
        <f>(U15+V15)/2</f>
        <v>17.60382087</v>
      </c>
      <c r="Y15" s="11">
        <f>STDEV(U15:V15)</f>
        <v>0.08376723565</v>
      </c>
      <c r="AB15" s="10"/>
    </row>
    <row r="16">
      <c r="B16" s="22">
        <v>200.0</v>
      </c>
      <c r="C16" s="43">
        <v>0.1016</v>
      </c>
      <c r="D16" s="43">
        <v>0.1</v>
      </c>
      <c r="E16" s="43">
        <v>0.1006</v>
      </c>
      <c r="F16" s="20">
        <v>0.0288</v>
      </c>
      <c r="G16" s="20">
        <v>0.0328</v>
      </c>
      <c r="H16" s="20">
        <v>0.0273</v>
      </c>
      <c r="I16" s="11">
        <f t="shared" ref="I16:K16" si="12">F16*50</f>
        <v>1.44</v>
      </c>
      <c r="J16" s="11">
        <f t="shared" si="12"/>
        <v>1.64</v>
      </c>
      <c r="K16" s="11">
        <f t="shared" si="12"/>
        <v>1.365</v>
      </c>
      <c r="L16" s="11">
        <f t="shared" ref="L16:N16" si="13">(I16-0.0243)/0.0772</f>
        <v>18.3380829</v>
      </c>
      <c r="M16" s="11">
        <f t="shared" si="13"/>
        <v>20.92875648</v>
      </c>
      <c r="N16" s="11">
        <f t="shared" si="13"/>
        <v>17.36658031</v>
      </c>
      <c r="O16" s="11">
        <f>AVERAGE(L16,N16)</f>
        <v>17.85233161</v>
      </c>
      <c r="P16" s="11">
        <f t="shared" ref="P16:R16" si="14">(($AA$4-L16)/$AA$4)*100</f>
        <v>90.83095855</v>
      </c>
      <c r="Q16" s="11">
        <f t="shared" si="14"/>
        <v>89.53562176</v>
      </c>
      <c r="R16" s="11">
        <f t="shared" si="14"/>
        <v>91.31670984</v>
      </c>
      <c r="S16" s="14">
        <f t="shared" ref="S16:S18" si="19">AVERAGE(P16:R16)</f>
        <v>90.56109672</v>
      </c>
      <c r="T16" s="11">
        <f t="shared" ref="T16:T18" si="20">STDEV(P16:R16)</f>
        <v>0.9206995957</v>
      </c>
      <c r="U16" s="11">
        <f t="shared" ref="U16:W16" si="15">(($AA$4-L16)/C16)*0.02</f>
        <v>35.7602199</v>
      </c>
      <c r="V16" s="11">
        <f t="shared" si="15"/>
        <v>35.8142487</v>
      </c>
      <c r="W16" s="11">
        <f t="shared" si="15"/>
        <v>36.30883095</v>
      </c>
      <c r="X16" s="11">
        <f t="shared" ref="X16:X18" si="22">AVERAGE(U16:W16)</f>
        <v>35.96109985</v>
      </c>
      <c r="Y16" s="11">
        <f t="shared" ref="Y16:Y18" si="23">STDEV(U16:W16)</f>
        <v>0.302353214</v>
      </c>
      <c r="AB16" s="10"/>
    </row>
    <row r="17">
      <c r="B17" s="22">
        <v>300.0</v>
      </c>
      <c r="C17" s="43">
        <v>0.1007</v>
      </c>
      <c r="D17" s="43">
        <v>0.101</v>
      </c>
      <c r="E17" s="43">
        <v>0.1002</v>
      </c>
      <c r="F17" s="20">
        <v>0.0313</v>
      </c>
      <c r="G17" s="20">
        <v>0.037</v>
      </c>
      <c r="H17" s="20">
        <v>0.03</v>
      </c>
      <c r="I17" s="11">
        <f t="shared" ref="I17:K17" si="16">F17*50</f>
        <v>1.565</v>
      </c>
      <c r="J17" s="11">
        <f t="shared" si="16"/>
        <v>1.85</v>
      </c>
      <c r="K17" s="11">
        <f t="shared" si="16"/>
        <v>1.5</v>
      </c>
      <c r="L17" s="11">
        <f t="shared" ref="L17:N17" si="17">(I17-0.0243)/0.0772</f>
        <v>19.95725389</v>
      </c>
      <c r="M17" s="11">
        <f t="shared" si="17"/>
        <v>23.64896373</v>
      </c>
      <c r="N17" s="11">
        <f t="shared" si="17"/>
        <v>19.11528497</v>
      </c>
      <c r="O17" s="11">
        <f>AVERAGE(L17:M17)</f>
        <v>21.80310881</v>
      </c>
      <c r="P17" s="11">
        <f t="shared" ref="P17:R17" si="18">(($AA$5-L17)/$AA$5)*100</f>
        <v>93.34758204</v>
      </c>
      <c r="Q17" s="11">
        <f t="shared" si="18"/>
        <v>92.11701209</v>
      </c>
      <c r="R17" s="11">
        <f t="shared" si="18"/>
        <v>93.62823834</v>
      </c>
      <c r="S17" s="14">
        <f t="shared" si="19"/>
        <v>93.03094416</v>
      </c>
      <c r="T17" s="11">
        <f t="shared" si="20"/>
        <v>0.8038319832</v>
      </c>
      <c r="U17" s="11">
        <f t="shared" ref="U17:W17" si="21">(($AA$5-L17)/C17)*0.02</f>
        <v>55.61921472</v>
      </c>
      <c r="V17" s="11">
        <f t="shared" si="21"/>
        <v>54.72297748</v>
      </c>
      <c r="W17" s="11">
        <f t="shared" si="21"/>
        <v>56.06481338</v>
      </c>
      <c r="X17" s="11">
        <f t="shared" si="22"/>
        <v>55.46900186</v>
      </c>
      <c r="Y17" s="11">
        <f t="shared" si="23"/>
        <v>0.6834133616</v>
      </c>
      <c r="AB17" s="10"/>
    </row>
    <row r="18">
      <c r="B18" s="22">
        <v>400.0</v>
      </c>
      <c r="C18" s="43">
        <v>0.1006</v>
      </c>
      <c r="D18" s="43">
        <v>0.1008</v>
      </c>
      <c r="E18" s="43">
        <v>0.1008</v>
      </c>
      <c r="F18" s="20">
        <v>0.0787</v>
      </c>
      <c r="G18" s="20">
        <v>0.0642</v>
      </c>
      <c r="H18" s="20">
        <v>0.0717</v>
      </c>
      <c r="I18" s="11">
        <f t="shared" ref="I18:K18" si="24">F18*50</f>
        <v>3.935</v>
      </c>
      <c r="J18" s="11">
        <f t="shared" si="24"/>
        <v>3.21</v>
      </c>
      <c r="K18" s="11">
        <f t="shared" si="24"/>
        <v>3.585</v>
      </c>
      <c r="L18" s="11">
        <f t="shared" ref="L18:N18" si="25">(I18-0.0243)/0.0772</f>
        <v>50.65673575</v>
      </c>
      <c r="M18" s="11">
        <f t="shared" si="25"/>
        <v>41.26554404</v>
      </c>
      <c r="N18" s="11">
        <f t="shared" si="25"/>
        <v>46.12305699</v>
      </c>
      <c r="O18" s="11">
        <f>AVERAGE(M18:N18)</f>
        <v>43.69430052</v>
      </c>
      <c r="P18" s="11">
        <f t="shared" ref="P18:R18" si="26">(($AA$6-L18)/$AA$6)*100</f>
        <v>87.33581606</v>
      </c>
      <c r="Q18" s="11">
        <f t="shared" si="26"/>
        <v>89.68361399</v>
      </c>
      <c r="R18" s="11">
        <f t="shared" si="26"/>
        <v>88.46923575</v>
      </c>
      <c r="S18" s="14">
        <f t="shared" si="19"/>
        <v>88.49622193</v>
      </c>
      <c r="T18" s="11">
        <f t="shared" si="20"/>
        <v>1.17413158</v>
      </c>
      <c r="U18" s="11">
        <f t="shared" ref="U18:W18" si="27">(($AA$6-L18)/C18)*0.02</f>
        <v>69.4519412</v>
      </c>
      <c r="V18" s="11">
        <f t="shared" si="27"/>
        <v>71.17747142</v>
      </c>
      <c r="W18" s="11">
        <f t="shared" si="27"/>
        <v>70.21367917</v>
      </c>
      <c r="X18" s="11">
        <f t="shared" si="22"/>
        <v>70.2810306</v>
      </c>
      <c r="Y18" s="11">
        <f t="shared" si="23"/>
        <v>0.8647345225</v>
      </c>
      <c r="AB18" s="10"/>
    </row>
    <row r="19">
      <c r="B19" s="5"/>
      <c r="F19" s="60"/>
      <c r="G19" s="60"/>
      <c r="H19" s="60"/>
      <c r="O19" s="61"/>
      <c r="T19" s="6"/>
      <c r="U19" s="6"/>
      <c r="V19" s="6"/>
      <c r="W19" s="6"/>
      <c r="X19" s="6"/>
      <c r="Y19" s="6"/>
      <c r="AB19" s="10"/>
    </row>
    <row r="20">
      <c r="B20" s="69" t="s">
        <v>68</v>
      </c>
      <c r="F20" s="60"/>
      <c r="G20" s="60"/>
      <c r="H20" s="60"/>
      <c r="O20" s="61"/>
      <c r="T20" s="6"/>
      <c r="U20" s="6"/>
      <c r="V20" s="6"/>
      <c r="W20" s="6"/>
      <c r="X20" s="6"/>
      <c r="Y20" s="6"/>
      <c r="AB20" s="10"/>
    </row>
    <row r="21" ht="15.75" customHeight="1">
      <c r="B21" s="17" t="s">
        <v>322</v>
      </c>
      <c r="C21" s="27"/>
      <c r="D21" s="27"/>
      <c r="E21" s="8"/>
      <c r="F21" s="60"/>
      <c r="G21" s="60"/>
      <c r="H21" s="60"/>
      <c r="O21" s="61"/>
      <c r="T21" s="6"/>
      <c r="U21" s="6"/>
      <c r="V21" s="6"/>
      <c r="W21" s="6"/>
      <c r="X21" s="6"/>
      <c r="Y21" s="6"/>
      <c r="AB21" s="10"/>
    </row>
    <row r="22" ht="15.75" customHeight="1">
      <c r="B22" s="5"/>
      <c r="F22" s="60"/>
      <c r="G22" s="60"/>
      <c r="H22" s="60"/>
      <c r="O22" s="61"/>
      <c r="T22" s="6"/>
      <c r="U22" s="6"/>
      <c r="V22" s="6"/>
      <c r="W22" s="6"/>
      <c r="X22" s="6"/>
      <c r="Y22" s="6"/>
      <c r="AB22" s="10"/>
    </row>
    <row r="23" ht="15.75" customHeight="1">
      <c r="B23" s="48" t="s">
        <v>70</v>
      </c>
      <c r="C23" s="49" t="s">
        <v>5</v>
      </c>
      <c r="D23" s="27"/>
      <c r="E23" s="8"/>
      <c r="F23" s="68" t="s">
        <v>6</v>
      </c>
      <c r="G23" s="27"/>
      <c r="H23" s="8"/>
      <c r="I23" s="49" t="s">
        <v>36</v>
      </c>
      <c r="J23" s="27"/>
      <c r="K23" s="8"/>
      <c r="L23" s="49" t="s">
        <v>37</v>
      </c>
      <c r="M23" s="27"/>
      <c r="N23" s="8"/>
      <c r="O23" s="50" t="s">
        <v>7</v>
      </c>
      <c r="P23" s="49" t="s">
        <v>9</v>
      </c>
      <c r="Q23" s="27"/>
      <c r="R23" s="8"/>
      <c r="S23" s="51" t="s">
        <v>10</v>
      </c>
      <c r="T23" s="50" t="s">
        <v>57</v>
      </c>
      <c r="U23" s="49" t="s">
        <v>11</v>
      </c>
      <c r="V23" s="27"/>
      <c r="W23" s="8"/>
      <c r="X23" s="50" t="s">
        <v>12</v>
      </c>
      <c r="Y23" s="50" t="s">
        <v>57</v>
      </c>
      <c r="AB23" s="10"/>
    </row>
    <row r="24" ht="15.75" customHeight="1">
      <c r="B24" s="22">
        <v>100.0</v>
      </c>
      <c r="C24" s="43">
        <v>0.1005</v>
      </c>
      <c r="D24" s="43">
        <v>0.1003</v>
      </c>
      <c r="E24" s="43">
        <v>0.1011</v>
      </c>
      <c r="F24" s="20">
        <v>0.0153</v>
      </c>
      <c r="G24" s="20">
        <v>0.0197</v>
      </c>
      <c r="H24" s="20">
        <v>0.0154</v>
      </c>
      <c r="I24" s="11">
        <f t="shared" ref="I24:K24" si="28">F24*50</f>
        <v>0.765</v>
      </c>
      <c r="J24" s="11">
        <f t="shared" si="28"/>
        <v>0.985</v>
      </c>
      <c r="K24" s="11">
        <f t="shared" si="28"/>
        <v>0.77</v>
      </c>
      <c r="L24" s="11">
        <f t="shared" ref="L24:N24" si="29">(I24-0.0243)/0.0772</f>
        <v>9.594559585</v>
      </c>
      <c r="M24" s="11">
        <f t="shared" si="29"/>
        <v>12.44430052</v>
      </c>
      <c r="N24" s="11">
        <f t="shared" si="29"/>
        <v>9.659326425</v>
      </c>
      <c r="O24" s="11">
        <f t="shared" ref="O24:O27" si="34">AVERAGE(L24:N24)</f>
        <v>10.56606218</v>
      </c>
      <c r="P24" s="11">
        <f t="shared" ref="P24:R24" si="30">(($AA$3-L24)/$AA$3)*100</f>
        <v>90.40544041</v>
      </c>
      <c r="Q24" s="11">
        <f t="shared" si="30"/>
        <v>87.55569948</v>
      </c>
      <c r="R24" s="11">
        <f t="shared" si="30"/>
        <v>90.34067358</v>
      </c>
      <c r="S24" s="14">
        <f t="shared" ref="S24:S27" si="36">AVERAGE(P24:R24)</f>
        <v>89.43393782</v>
      </c>
      <c r="T24" s="11">
        <f t="shared" ref="T24:T27" si="37">STDEV(P24:R24)</f>
        <v>1.626924441</v>
      </c>
      <c r="U24" s="11">
        <f t="shared" ref="U24:W24" si="31">(($AA$3-L24)/C24)*0.02</f>
        <v>17.99113242</v>
      </c>
      <c r="V24" s="11">
        <f t="shared" si="31"/>
        <v>17.45876361</v>
      </c>
      <c r="W24" s="11">
        <f t="shared" si="31"/>
        <v>17.87154769</v>
      </c>
      <c r="X24" s="11">
        <f t="shared" ref="X24:X27" si="39">AVERAGE(U24:W24)</f>
        <v>17.77381457</v>
      </c>
      <c r="Y24" s="11">
        <f t="shared" ref="Y24:Y27" si="40">STDEV(U24:W24)</f>
        <v>0.2793169537</v>
      </c>
      <c r="AB24" s="10"/>
    </row>
    <row r="25" ht="15.75" customHeight="1">
      <c r="B25" s="22">
        <v>200.0</v>
      </c>
      <c r="C25" s="43">
        <v>0.102</v>
      </c>
      <c r="D25" s="43">
        <v>0.1016</v>
      </c>
      <c r="E25" s="43">
        <v>0.1</v>
      </c>
      <c r="F25" s="20">
        <v>0.0537</v>
      </c>
      <c r="G25" s="20">
        <v>0.0293</v>
      </c>
      <c r="H25" s="20">
        <v>0.0488</v>
      </c>
      <c r="I25" s="11">
        <f t="shared" ref="I25:K25" si="32">F25*50</f>
        <v>2.685</v>
      </c>
      <c r="J25" s="11">
        <f t="shared" si="32"/>
        <v>1.465</v>
      </c>
      <c r="K25" s="11">
        <f t="shared" si="32"/>
        <v>2.44</v>
      </c>
      <c r="L25" s="11">
        <f t="shared" ref="L25:N25" si="33">(I25-0.0243)/0.0772</f>
        <v>34.46502591</v>
      </c>
      <c r="M25" s="11">
        <f t="shared" si="33"/>
        <v>18.6619171</v>
      </c>
      <c r="N25" s="11">
        <f t="shared" si="33"/>
        <v>31.29145078</v>
      </c>
      <c r="O25" s="11">
        <f t="shared" si="34"/>
        <v>28.13946459</v>
      </c>
      <c r="P25" s="11">
        <f t="shared" ref="P25:R25" si="35">(($AA$4-L25)/$AA$4)*100</f>
        <v>82.76748705</v>
      </c>
      <c r="Q25" s="11">
        <f t="shared" si="35"/>
        <v>90.66904145</v>
      </c>
      <c r="R25" s="11">
        <f t="shared" si="35"/>
        <v>84.35427461</v>
      </c>
      <c r="S25" s="14">
        <f t="shared" si="36"/>
        <v>85.9302677</v>
      </c>
      <c r="T25" s="11">
        <f t="shared" si="37"/>
        <v>4.1798871</v>
      </c>
      <c r="U25" s="11">
        <f t="shared" ref="U25:W25" si="38">(($AA$4-L25)/C25)*0.02</f>
        <v>32.45783806</v>
      </c>
      <c r="V25" s="11">
        <f t="shared" si="38"/>
        <v>35.69647301</v>
      </c>
      <c r="W25" s="11">
        <f t="shared" si="38"/>
        <v>33.74170984</v>
      </c>
      <c r="X25" s="11">
        <f t="shared" si="39"/>
        <v>33.9653403</v>
      </c>
      <c r="Y25" s="11">
        <f t="shared" si="40"/>
        <v>1.630857759</v>
      </c>
      <c r="AB25" s="10"/>
    </row>
    <row r="26" ht="15.75" customHeight="1">
      <c r="B26" s="22">
        <v>300.0</v>
      </c>
      <c r="C26" s="43">
        <v>0.1002</v>
      </c>
      <c r="D26" s="43">
        <v>0.1004</v>
      </c>
      <c r="E26" s="43">
        <v>0.1014</v>
      </c>
      <c r="F26" s="20">
        <v>0.1155</v>
      </c>
      <c r="G26" s="20">
        <v>0.1697</v>
      </c>
      <c r="H26" s="20">
        <v>0.1696</v>
      </c>
      <c r="I26" s="11">
        <f t="shared" ref="I26:K26" si="41">F26*50</f>
        <v>5.775</v>
      </c>
      <c r="J26" s="11">
        <f t="shared" si="41"/>
        <v>8.485</v>
      </c>
      <c r="K26" s="11">
        <f t="shared" si="41"/>
        <v>8.48</v>
      </c>
      <c r="L26" s="11">
        <f t="shared" ref="L26:N26" si="42">(I26-0.0243)/0.0772</f>
        <v>74.49093264</v>
      </c>
      <c r="M26" s="11">
        <f t="shared" si="42"/>
        <v>109.5945596</v>
      </c>
      <c r="N26" s="11">
        <f t="shared" si="42"/>
        <v>109.5297927</v>
      </c>
      <c r="O26" s="11">
        <f t="shared" si="34"/>
        <v>97.87176166</v>
      </c>
      <c r="P26" s="11">
        <f t="shared" ref="P26:R26" si="43">(($AA$5-L26)/$AA$5)*100</f>
        <v>75.16968912</v>
      </c>
      <c r="Q26" s="11">
        <f t="shared" si="43"/>
        <v>63.46848014</v>
      </c>
      <c r="R26" s="11">
        <f t="shared" si="43"/>
        <v>63.49006908</v>
      </c>
      <c r="S26" s="14">
        <f t="shared" si="36"/>
        <v>67.37607945</v>
      </c>
      <c r="T26" s="11">
        <f t="shared" si="37"/>
        <v>6.749472595</v>
      </c>
      <c r="U26" s="11">
        <f t="shared" ref="U26:W26" si="44">(($AA$5-L26)/C26)*0.02</f>
        <v>45.01178989</v>
      </c>
      <c r="V26" s="11">
        <f t="shared" si="44"/>
        <v>37.9293706</v>
      </c>
      <c r="W26" s="11">
        <f t="shared" si="44"/>
        <v>37.56808822</v>
      </c>
      <c r="X26" s="11">
        <f t="shared" si="39"/>
        <v>40.16974957</v>
      </c>
      <c r="Y26" s="11">
        <f t="shared" si="40"/>
        <v>4.197218973</v>
      </c>
      <c r="AB26" s="10"/>
    </row>
    <row r="27" ht="15.75" customHeight="1">
      <c r="B27" s="22">
        <v>400.0</v>
      </c>
      <c r="C27" s="43">
        <v>0.1003</v>
      </c>
      <c r="D27" s="43">
        <v>0.1014</v>
      </c>
      <c r="E27" s="43">
        <v>0.1016</v>
      </c>
      <c r="F27" s="20">
        <v>0.245</v>
      </c>
      <c r="G27" s="20">
        <v>0.2587</v>
      </c>
      <c r="H27" s="20">
        <v>0.2999</v>
      </c>
      <c r="I27" s="11">
        <f t="shared" ref="I27:K27" si="45">F27*50</f>
        <v>12.25</v>
      </c>
      <c r="J27" s="11">
        <f t="shared" si="45"/>
        <v>12.935</v>
      </c>
      <c r="K27" s="11">
        <f t="shared" si="45"/>
        <v>14.995</v>
      </c>
      <c r="L27" s="11">
        <f t="shared" ref="L27:N27" si="46">(I27-0.0243)/0.0772</f>
        <v>158.3639896</v>
      </c>
      <c r="M27" s="11">
        <f t="shared" si="46"/>
        <v>167.2370466</v>
      </c>
      <c r="N27" s="11">
        <f t="shared" si="46"/>
        <v>193.9209845</v>
      </c>
      <c r="O27" s="11">
        <f t="shared" si="34"/>
        <v>173.1740069</v>
      </c>
      <c r="P27" s="11">
        <f t="shared" ref="P27:R27" si="47">(($AA$6-L27)/$AA$6)*100</f>
        <v>60.40900259</v>
      </c>
      <c r="Q27" s="11">
        <f t="shared" si="47"/>
        <v>58.19073834</v>
      </c>
      <c r="R27" s="11">
        <f t="shared" si="47"/>
        <v>51.51975389</v>
      </c>
      <c r="S27" s="14">
        <f t="shared" si="36"/>
        <v>56.70649827</v>
      </c>
      <c r="T27" s="11">
        <f t="shared" si="37"/>
        <v>4.626760429</v>
      </c>
      <c r="U27" s="11">
        <f t="shared" ref="U27:W27" si="48">(($AA$6-L27)/C27)*0.02</f>
        <v>48.18265411</v>
      </c>
      <c r="V27" s="11">
        <f t="shared" si="48"/>
        <v>45.90985274</v>
      </c>
      <c r="W27" s="11">
        <f t="shared" si="48"/>
        <v>40.56673534</v>
      </c>
      <c r="X27" s="11">
        <f t="shared" si="39"/>
        <v>44.88641406</v>
      </c>
      <c r="Y27" s="11">
        <f t="shared" si="40"/>
        <v>3.909747396</v>
      </c>
      <c r="AB27" s="10"/>
    </row>
    <row r="28" ht="15.75" customHeight="1">
      <c r="B28" s="5"/>
      <c r="F28" s="60"/>
      <c r="G28" s="60"/>
      <c r="H28" s="60"/>
      <c r="O28" s="61"/>
      <c r="T28" s="6"/>
      <c r="U28" s="6"/>
      <c r="V28" s="6"/>
      <c r="W28" s="6"/>
      <c r="X28" s="6"/>
      <c r="Y28" s="6"/>
      <c r="AB28" s="10"/>
    </row>
    <row r="29" ht="15.75" customHeight="1">
      <c r="B29" s="67" t="s">
        <v>68</v>
      </c>
      <c r="F29" s="60"/>
      <c r="G29" s="60"/>
      <c r="H29" s="60"/>
      <c r="O29" s="61"/>
      <c r="T29" s="6"/>
      <c r="U29" s="6"/>
      <c r="V29" s="6"/>
      <c r="W29" s="6"/>
      <c r="X29" s="6"/>
      <c r="Y29" s="6"/>
      <c r="AB29" s="10"/>
    </row>
    <row r="30" ht="15.75" customHeight="1">
      <c r="B30" s="17" t="s">
        <v>326</v>
      </c>
      <c r="C30" s="27"/>
      <c r="D30" s="27"/>
      <c r="E30" s="8"/>
      <c r="F30" s="60"/>
      <c r="G30" s="60"/>
      <c r="H30" s="60"/>
      <c r="O30" s="61"/>
      <c r="T30" s="6"/>
      <c r="U30" s="6"/>
      <c r="V30" s="6"/>
      <c r="W30" s="6"/>
      <c r="X30" s="6"/>
      <c r="Y30" s="6"/>
      <c r="AB30" s="10"/>
    </row>
    <row r="31" ht="15.75" customHeight="1">
      <c r="B31" s="5"/>
      <c r="F31" s="60"/>
      <c r="G31" s="60"/>
      <c r="H31" s="60"/>
      <c r="O31" s="61"/>
      <c r="T31" s="6"/>
      <c r="U31" s="6"/>
      <c r="V31" s="6"/>
      <c r="W31" s="6"/>
      <c r="X31" s="6"/>
      <c r="Y31" s="6"/>
      <c r="AB31" s="10"/>
    </row>
    <row r="32" ht="15.75" customHeight="1">
      <c r="B32" s="48" t="s">
        <v>70</v>
      </c>
      <c r="C32" s="49" t="s">
        <v>5</v>
      </c>
      <c r="D32" s="27"/>
      <c r="E32" s="8"/>
      <c r="F32" s="68" t="s">
        <v>6</v>
      </c>
      <c r="G32" s="27"/>
      <c r="H32" s="8"/>
      <c r="I32" s="49" t="s">
        <v>36</v>
      </c>
      <c r="J32" s="27"/>
      <c r="K32" s="8"/>
      <c r="L32" s="49" t="s">
        <v>37</v>
      </c>
      <c r="M32" s="27"/>
      <c r="N32" s="8"/>
      <c r="O32" s="50" t="s">
        <v>7</v>
      </c>
      <c r="P32" s="49" t="s">
        <v>9</v>
      </c>
      <c r="Q32" s="27"/>
      <c r="R32" s="8"/>
      <c r="S32" s="51" t="s">
        <v>10</v>
      </c>
      <c r="T32" s="50" t="s">
        <v>57</v>
      </c>
      <c r="U32" s="49" t="s">
        <v>11</v>
      </c>
      <c r="V32" s="27"/>
      <c r="W32" s="8"/>
      <c r="X32" s="50" t="s">
        <v>12</v>
      </c>
      <c r="Y32" s="50" t="s">
        <v>57</v>
      </c>
      <c r="AB32" s="10"/>
    </row>
    <row r="33" ht="15.75" customHeight="1">
      <c r="B33" s="22">
        <v>100.0</v>
      </c>
      <c r="C33" s="43">
        <v>0.1012</v>
      </c>
      <c r="D33" s="43"/>
      <c r="E33" s="43">
        <v>0.1008</v>
      </c>
      <c r="F33" s="20">
        <v>0.0537</v>
      </c>
      <c r="G33" s="20"/>
      <c r="H33" s="20">
        <v>0.0479</v>
      </c>
      <c r="I33" s="11">
        <f t="shared" ref="I33:I35" si="49">F33*50</f>
        <v>2.685</v>
      </c>
      <c r="J33" s="11"/>
      <c r="K33" s="11">
        <f>H33*50</f>
        <v>2.395</v>
      </c>
      <c r="L33" s="11">
        <f t="shared" ref="L33:L35" si="51">(I33-0.0243)/0.0772</f>
        <v>34.46502591</v>
      </c>
      <c r="M33" s="11"/>
      <c r="N33" s="11">
        <f>(K33-0.0243)/0.0772</f>
        <v>30.70854922</v>
      </c>
      <c r="O33" s="11">
        <f t="shared" ref="O33:O36" si="53">AVERAGE(L33:N33)</f>
        <v>32.58678756</v>
      </c>
      <c r="P33" s="11">
        <f>(($AA$3-L33)/$AA$3)*100</f>
        <v>65.53497409</v>
      </c>
      <c r="Q33" s="11"/>
      <c r="R33" s="11">
        <f>(($AA$3-N33)/$AA$3)*100</f>
        <v>69.29145078</v>
      </c>
      <c r="S33" s="14">
        <f t="shared" ref="S33:S36" si="55">AVERAGE(P33:R33)</f>
        <v>67.41321244</v>
      </c>
      <c r="T33" s="11">
        <f t="shared" ref="T33:T35" si="56">STDEV(P33:R33)</f>
        <v>2.656230137</v>
      </c>
      <c r="U33" s="11">
        <f>(($AA$3-L33)/C33)*0.02</f>
        <v>12.95157591</v>
      </c>
      <c r="V33" s="11"/>
      <c r="W33" s="11">
        <f>(($AA$3-N33)/E33)*0.02</f>
        <v>13.74830373</v>
      </c>
      <c r="X33" s="11">
        <f t="shared" ref="X33:X36" si="58">AVERAGE(U33:W33)</f>
        <v>13.34993982</v>
      </c>
      <c r="Y33" s="11">
        <f t="shared" ref="Y33:Y35" si="59">STDEV(U33:W33)</f>
        <v>0.5633716428</v>
      </c>
      <c r="AB33" s="10"/>
    </row>
    <row r="34" ht="15.75" customHeight="1">
      <c r="B34" s="22">
        <v>200.0</v>
      </c>
      <c r="C34" s="43">
        <v>0.1004</v>
      </c>
      <c r="D34" s="43">
        <v>0.1001</v>
      </c>
      <c r="E34" s="43">
        <v>0.1012</v>
      </c>
      <c r="F34" s="20">
        <v>0.139</v>
      </c>
      <c r="G34" s="20">
        <v>0.1273</v>
      </c>
      <c r="H34" s="20">
        <v>0.2047</v>
      </c>
      <c r="I34" s="11">
        <f t="shared" si="49"/>
        <v>6.95</v>
      </c>
      <c r="J34" s="11">
        <f t="shared" ref="J34:K34" si="50">G34*50</f>
        <v>6.365</v>
      </c>
      <c r="K34" s="11">
        <f t="shared" si="50"/>
        <v>10.235</v>
      </c>
      <c r="L34" s="11">
        <f t="shared" si="51"/>
        <v>89.7111399</v>
      </c>
      <c r="M34" s="11">
        <f t="shared" ref="M34:N34" si="52">(J34-0.0243)/0.0772</f>
        <v>82.13341969</v>
      </c>
      <c r="N34" s="11">
        <f t="shared" si="52"/>
        <v>132.2629534</v>
      </c>
      <c r="O34" s="11">
        <f t="shared" si="53"/>
        <v>101.369171</v>
      </c>
      <c r="P34" s="11">
        <f t="shared" ref="P34:R34" si="54">(($AA$4-L34)/$AA$4)*100</f>
        <v>55.14443005</v>
      </c>
      <c r="Q34" s="11">
        <f t="shared" si="54"/>
        <v>58.93329016</v>
      </c>
      <c r="R34" s="11">
        <f t="shared" si="54"/>
        <v>33.86852332</v>
      </c>
      <c r="S34" s="14">
        <f t="shared" si="55"/>
        <v>49.31541451</v>
      </c>
      <c r="T34" s="11">
        <f t="shared" si="56"/>
        <v>13.51087343</v>
      </c>
      <c r="U34" s="11">
        <f t="shared" ref="U34:W34" si="57">(($AA$4-L34)/C34)*0.02</f>
        <v>21.96989245</v>
      </c>
      <c r="V34" s="11">
        <f t="shared" si="57"/>
        <v>23.5497663</v>
      </c>
      <c r="W34" s="11">
        <f t="shared" si="57"/>
        <v>13.38676811</v>
      </c>
      <c r="X34" s="11">
        <f t="shared" si="58"/>
        <v>19.63547562</v>
      </c>
      <c r="Y34" s="11">
        <f t="shared" si="59"/>
        <v>5.468890152</v>
      </c>
      <c r="AB34" s="10"/>
    </row>
    <row r="35" ht="15.75" customHeight="1">
      <c r="B35" s="22">
        <v>300.0</v>
      </c>
      <c r="C35" s="43">
        <v>0.1005</v>
      </c>
      <c r="D35" s="43">
        <v>0.1011</v>
      </c>
      <c r="E35" s="43">
        <v>0.1007</v>
      </c>
      <c r="F35" s="20">
        <v>0.4061</v>
      </c>
      <c r="G35" s="20">
        <v>0.4064</v>
      </c>
      <c r="H35" s="20">
        <v>0.3339</v>
      </c>
      <c r="I35" s="11">
        <f t="shared" si="49"/>
        <v>20.305</v>
      </c>
      <c r="J35" s="11">
        <f t="shared" ref="J35:K35" si="60">G35*50</f>
        <v>20.32</v>
      </c>
      <c r="K35" s="11">
        <f t="shared" si="60"/>
        <v>16.695</v>
      </c>
      <c r="L35" s="11">
        <f t="shared" si="51"/>
        <v>262.7033679</v>
      </c>
      <c r="M35" s="11">
        <f t="shared" ref="M35:N35" si="61">(J35-0.0243)/0.0772</f>
        <v>262.8976684</v>
      </c>
      <c r="N35" s="11">
        <f t="shared" si="61"/>
        <v>215.9417098</v>
      </c>
      <c r="O35" s="11">
        <f t="shared" si="53"/>
        <v>247.1809154</v>
      </c>
      <c r="P35" s="11">
        <f t="shared" ref="P35:R35" si="62">(($AA$5-L35)/$AA$5)*100</f>
        <v>12.43221071</v>
      </c>
      <c r="Q35" s="11">
        <f t="shared" si="62"/>
        <v>12.36744387</v>
      </c>
      <c r="R35" s="11">
        <f t="shared" si="62"/>
        <v>28.01943005</v>
      </c>
      <c r="S35" s="14">
        <f t="shared" si="55"/>
        <v>17.60636154</v>
      </c>
      <c r="T35" s="11">
        <f t="shared" si="56"/>
        <v>9.018040004</v>
      </c>
      <c r="U35" s="11">
        <f t="shared" ref="U35:W35" si="63">(($AA$5-L35)/C35)*0.02</f>
        <v>7.422215348</v>
      </c>
      <c r="V35" s="11">
        <f t="shared" si="63"/>
        <v>7.339729299</v>
      </c>
      <c r="W35" s="11">
        <f t="shared" si="63"/>
        <v>16.69479447</v>
      </c>
      <c r="X35" s="11">
        <f t="shared" si="58"/>
        <v>10.48557971</v>
      </c>
      <c r="Y35" s="11">
        <f t="shared" si="59"/>
        <v>5.377495884</v>
      </c>
      <c r="AB35" s="10"/>
    </row>
    <row r="36" ht="15.75" customHeight="1">
      <c r="B36" s="22">
        <v>400.0</v>
      </c>
      <c r="C36" s="43"/>
      <c r="D36" s="43">
        <v>0.1001</v>
      </c>
      <c r="E36" s="43"/>
      <c r="F36" s="20"/>
      <c r="G36" s="20">
        <v>0.5901</v>
      </c>
      <c r="H36" s="20"/>
      <c r="I36" s="11"/>
      <c r="J36" s="11">
        <f>G36*50</f>
        <v>29.505</v>
      </c>
      <c r="K36" s="11"/>
      <c r="L36" s="11"/>
      <c r="M36" s="11">
        <f>(J36-0.0243)/0.0772</f>
        <v>381.8743523</v>
      </c>
      <c r="N36" s="11"/>
      <c r="O36" s="11">
        <f t="shared" si="53"/>
        <v>381.8743523</v>
      </c>
      <c r="P36" s="11"/>
      <c r="Q36" s="11">
        <f>(($AA$6-M36)/$AA$6)*100</f>
        <v>4.531411917</v>
      </c>
      <c r="R36" s="11"/>
      <c r="S36" s="14">
        <f t="shared" si="55"/>
        <v>4.531411917</v>
      </c>
      <c r="T36" s="11"/>
      <c r="U36" s="11"/>
      <c r="V36" s="11">
        <f>(($AA$6-M36)/D36)*0.02</f>
        <v>3.621508026</v>
      </c>
      <c r="W36" s="11"/>
      <c r="X36" s="11">
        <f t="shared" si="58"/>
        <v>3.621508026</v>
      </c>
      <c r="Y36" s="11"/>
      <c r="AB36" s="10"/>
    </row>
    <row r="37" ht="15.75" customHeight="1">
      <c r="B37" s="5"/>
      <c r="C37" s="226"/>
      <c r="D37" s="226"/>
      <c r="E37" s="226"/>
      <c r="F37" s="155"/>
      <c r="G37" s="155"/>
      <c r="H37" s="155"/>
      <c r="I37" s="141"/>
      <c r="J37" s="141"/>
      <c r="K37" s="141"/>
      <c r="L37" s="141"/>
      <c r="M37" s="141"/>
      <c r="N37" s="141"/>
      <c r="O37" s="141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AB37" s="10"/>
    </row>
    <row r="38" ht="15.75" customHeight="1">
      <c r="B38" s="5"/>
      <c r="C38" s="226"/>
      <c r="D38" s="226"/>
      <c r="E38" s="226"/>
      <c r="F38" s="155"/>
      <c r="G38" s="155"/>
      <c r="H38" s="155"/>
      <c r="I38" s="141"/>
      <c r="J38" s="141"/>
      <c r="K38" s="141"/>
      <c r="L38" s="141"/>
      <c r="M38" s="141"/>
      <c r="N38" s="141"/>
      <c r="O38" s="141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AB38" s="10"/>
    </row>
    <row r="39" ht="15.75" customHeight="1">
      <c r="B39" s="5"/>
      <c r="F39" s="60"/>
      <c r="G39" s="60"/>
      <c r="H39" s="60"/>
      <c r="O39" s="61"/>
      <c r="X39" s="61"/>
      <c r="AB39" s="10"/>
    </row>
    <row r="40" ht="15.75" customHeight="1">
      <c r="B40" s="67" t="s">
        <v>74</v>
      </c>
      <c r="F40" s="60"/>
      <c r="G40" s="60"/>
      <c r="H40" s="60"/>
      <c r="O40" s="61"/>
      <c r="T40" s="6"/>
      <c r="U40" s="6"/>
      <c r="V40" s="6"/>
      <c r="W40" s="6"/>
      <c r="X40" s="6"/>
      <c r="Y40" s="6"/>
      <c r="AB40" s="10"/>
    </row>
    <row r="41" ht="15.75" customHeight="1">
      <c r="B41" s="17" t="s">
        <v>291</v>
      </c>
      <c r="C41" s="27"/>
      <c r="D41" s="27"/>
      <c r="E41" s="8"/>
      <c r="F41" s="60"/>
      <c r="G41" s="60"/>
      <c r="H41" s="60"/>
      <c r="O41" s="61"/>
      <c r="T41" s="6"/>
      <c r="U41" s="6"/>
      <c r="V41" s="6"/>
      <c r="W41" s="6"/>
      <c r="X41" s="6"/>
      <c r="Y41" s="6"/>
      <c r="AB41" s="10"/>
    </row>
    <row r="42" ht="15.75" customHeight="1">
      <c r="B42" s="5"/>
      <c r="F42" s="60"/>
      <c r="G42" s="60"/>
      <c r="H42" s="60"/>
      <c r="O42" s="61"/>
      <c r="T42" s="6"/>
      <c r="U42" s="6"/>
      <c r="V42" s="6"/>
      <c r="W42" s="6"/>
      <c r="X42" s="6"/>
      <c r="Y42" s="6"/>
      <c r="AB42" s="10"/>
    </row>
    <row r="43" ht="15.75" customHeight="1">
      <c r="B43" s="48" t="s">
        <v>70</v>
      </c>
      <c r="C43" s="49" t="s">
        <v>5</v>
      </c>
      <c r="D43" s="27"/>
      <c r="E43" s="8"/>
      <c r="F43" s="68" t="s">
        <v>6</v>
      </c>
      <c r="G43" s="27"/>
      <c r="H43" s="8"/>
      <c r="I43" s="49" t="s">
        <v>36</v>
      </c>
      <c r="J43" s="27"/>
      <c r="K43" s="8"/>
      <c r="L43" s="49" t="s">
        <v>37</v>
      </c>
      <c r="M43" s="27"/>
      <c r="N43" s="8"/>
      <c r="O43" s="50" t="s">
        <v>7</v>
      </c>
      <c r="P43" s="49" t="s">
        <v>9</v>
      </c>
      <c r="Q43" s="27"/>
      <c r="R43" s="8"/>
      <c r="S43" s="51" t="s">
        <v>10</v>
      </c>
      <c r="T43" s="50" t="s">
        <v>57</v>
      </c>
      <c r="U43" s="49" t="s">
        <v>11</v>
      </c>
      <c r="V43" s="27"/>
      <c r="W43" s="8"/>
      <c r="X43" s="50" t="s">
        <v>12</v>
      </c>
      <c r="Y43" s="50" t="s">
        <v>57</v>
      </c>
      <c r="AB43" s="10"/>
    </row>
    <row r="44" ht="15.75" customHeight="1">
      <c r="B44" s="22">
        <v>100.0</v>
      </c>
      <c r="C44" s="43">
        <v>0.1014</v>
      </c>
      <c r="D44" s="43">
        <v>0.1008</v>
      </c>
      <c r="E44" s="43">
        <v>0.1003</v>
      </c>
      <c r="F44" s="20">
        <v>0.0123</v>
      </c>
      <c r="G44" s="20">
        <v>0.0121</v>
      </c>
      <c r="H44" s="20">
        <v>0.0109</v>
      </c>
      <c r="I44" s="11">
        <f t="shared" ref="I44:K44" si="64">F44*50</f>
        <v>0.615</v>
      </c>
      <c r="J44" s="11">
        <f t="shared" si="64"/>
        <v>0.605</v>
      </c>
      <c r="K44" s="11">
        <f t="shared" si="64"/>
        <v>0.545</v>
      </c>
      <c r="L44" s="11">
        <f t="shared" ref="L44:N44" si="65">(I44-0.0243)/0.0772</f>
        <v>7.651554404</v>
      </c>
      <c r="M44" s="11">
        <f t="shared" si="65"/>
        <v>7.522020725</v>
      </c>
      <c r="N44" s="11">
        <f t="shared" si="65"/>
        <v>6.744818653</v>
      </c>
      <c r="O44" s="11">
        <f t="shared" ref="O44:O47" si="70">AVERAGE(L44:N44)</f>
        <v>7.306131261</v>
      </c>
      <c r="P44" s="11">
        <f t="shared" ref="P44:R44" si="66">(($AA$3-L44)/$AA$3)*100</f>
        <v>92.3484456</v>
      </c>
      <c r="Q44" s="11">
        <f t="shared" si="66"/>
        <v>92.47797927</v>
      </c>
      <c r="R44" s="11">
        <f t="shared" si="66"/>
        <v>93.25518135</v>
      </c>
      <c r="S44" s="14">
        <f t="shared" ref="S44:S47" si="72">AVERAGE(P44:R44)</f>
        <v>92.69386874</v>
      </c>
      <c r="T44" s="11">
        <f t="shared" ref="T44:T47" si="73">STDEV(P44:R44)</f>
        <v>0.4904065929</v>
      </c>
      <c r="U44" s="11">
        <f t="shared" ref="U44:W44" si="67">(($AA$3-L44)/C44)*0.02</f>
        <v>18.21468355</v>
      </c>
      <c r="V44" s="11">
        <f t="shared" si="67"/>
        <v>18.34880541</v>
      </c>
      <c r="W44" s="11">
        <f t="shared" si="67"/>
        <v>18.59525052</v>
      </c>
      <c r="X44" s="11">
        <f t="shared" ref="X44:X47" si="75">AVERAGE(U44:W44)</f>
        <v>18.38624649</v>
      </c>
      <c r="Y44" s="11">
        <f t="shared" ref="Y44:Y47" si="76">STDEV(U44:W44)</f>
        <v>0.193026372</v>
      </c>
      <c r="AB44" s="10"/>
    </row>
    <row r="45" ht="15.75" customHeight="1">
      <c r="B45" s="22">
        <v>200.0</v>
      </c>
      <c r="C45" s="43">
        <v>0.1013</v>
      </c>
      <c r="D45" s="43">
        <v>0.1012</v>
      </c>
      <c r="E45" s="43">
        <v>0.1001</v>
      </c>
      <c r="F45" s="20">
        <v>0.0397</v>
      </c>
      <c r="G45" s="20">
        <v>0.0209</v>
      </c>
      <c r="H45" s="20">
        <v>0.0305</v>
      </c>
      <c r="I45" s="11">
        <f t="shared" ref="I45:K45" si="68">F45*50</f>
        <v>1.985</v>
      </c>
      <c r="J45" s="11">
        <f t="shared" si="68"/>
        <v>1.045</v>
      </c>
      <c r="K45" s="11">
        <f t="shared" si="68"/>
        <v>1.525</v>
      </c>
      <c r="L45" s="11">
        <f t="shared" ref="L45:N45" si="69">(I45-0.0243)/0.0772</f>
        <v>25.39766839</v>
      </c>
      <c r="M45" s="11">
        <f t="shared" si="69"/>
        <v>13.22150259</v>
      </c>
      <c r="N45" s="11">
        <f t="shared" si="69"/>
        <v>19.43911917</v>
      </c>
      <c r="O45" s="11">
        <f t="shared" si="70"/>
        <v>19.35276339</v>
      </c>
      <c r="P45" s="11">
        <f t="shared" ref="P45:R45" si="71">(($AA$4-L45)/$AA$4)*100</f>
        <v>87.3011658</v>
      </c>
      <c r="Q45" s="11">
        <f t="shared" si="71"/>
        <v>93.3892487</v>
      </c>
      <c r="R45" s="11">
        <f t="shared" si="71"/>
        <v>90.28044041</v>
      </c>
      <c r="S45" s="14">
        <f t="shared" si="72"/>
        <v>90.32361831</v>
      </c>
      <c r="T45" s="11">
        <f t="shared" si="73"/>
        <v>3.044271112</v>
      </c>
      <c r="U45" s="11">
        <f t="shared" ref="U45:W45" si="74">(($AA$4-L45)/C45)*0.02</f>
        <v>34.47232608</v>
      </c>
      <c r="V45" s="11">
        <f t="shared" si="74"/>
        <v>36.91274652</v>
      </c>
      <c r="W45" s="11">
        <f t="shared" si="74"/>
        <v>36.07610007</v>
      </c>
      <c r="X45" s="11">
        <f t="shared" si="75"/>
        <v>35.82039089</v>
      </c>
      <c r="Y45" s="11">
        <f t="shared" si="76"/>
        <v>1.240142479</v>
      </c>
      <c r="AB45" s="10"/>
    </row>
    <row r="46" ht="15.75" customHeight="1">
      <c r="B46" s="22">
        <v>300.0</v>
      </c>
      <c r="C46" s="43">
        <v>0.1007</v>
      </c>
      <c r="D46" s="43">
        <v>0.1003</v>
      </c>
      <c r="E46" s="43">
        <v>0.1004</v>
      </c>
      <c r="F46" s="20">
        <v>0.0869</v>
      </c>
      <c r="G46" s="20">
        <v>0.0903</v>
      </c>
      <c r="H46" s="20">
        <v>0.0786</v>
      </c>
      <c r="I46" s="11">
        <f t="shared" ref="I46:K46" si="77">F46*50</f>
        <v>4.345</v>
      </c>
      <c r="J46" s="11">
        <f t="shared" si="77"/>
        <v>4.515</v>
      </c>
      <c r="K46" s="11">
        <f t="shared" si="77"/>
        <v>3.93</v>
      </c>
      <c r="L46" s="11">
        <f t="shared" ref="L46:N46" si="78">(I46-0.0243)/0.0772</f>
        <v>55.96761658</v>
      </c>
      <c r="M46" s="11">
        <f t="shared" si="78"/>
        <v>58.16968912</v>
      </c>
      <c r="N46" s="11">
        <f t="shared" si="78"/>
        <v>50.59196891</v>
      </c>
      <c r="O46" s="11">
        <f t="shared" si="70"/>
        <v>54.9097582</v>
      </c>
      <c r="P46" s="11">
        <f t="shared" ref="P46:R46" si="79">(($AA$5-L46)/$AA$5)*100</f>
        <v>81.34412781</v>
      </c>
      <c r="Q46" s="11">
        <f t="shared" si="79"/>
        <v>80.61010363</v>
      </c>
      <c r="R46" s="11">
        <f t="shared" si="79"/>
        <v>83.13601036</v>
      </c>
      <c r="S46" s="14">
        <f t="shared" si="72"/>
        <v>81.69674727</v>
      </c>
      <c r="T46" s="11">
        <f t="shared" si="73"/>
        <v>1.299348518</v>
      </c>
      <c r="U46" s="11">
        <f t="shared" ref="U46:W46" si="80">(($AA$5-L46)/C46)*0.02</f>
        <v>48.46720624</v>
      </c>
      <c r="V46" s="11">
        <f t="shared" si="80"/>
        <v>48.22139798</v>
      </c>
      <c r="W46" s="11">
        <f t="shared" si="80"/>
        <v>49.68287472</v>
      </c>
      <c r="X46" s="11">
        <f t="shared" si="75"/>
        <v>48.79049298</v>
      </c>
      <c r="Y46" s="11">
        <f t="shared" si="76"/>
        <v>0.7825370918</v>
      </c>
      <c r="AB46" s="10"/>
    </row>
    <row r="47" ht="15.75" customHeight="1">
      <c r="B47" s="22">
        <v>400.0</v>
      </c>
      <c r="C47" s="43">
        <v>0.1012</v>
      </c>
      <c r="D47" s="43">
        <v>0.1007</v>
      </c>
      <c r="E47" s="43">
        <v>0.101</v>
      </c>
      <c r="F47" s="20">
        <v>0.1968</v>
      </c>
      <c r="G47" s="20">
        <v>0.2219</v>
      </c>
      <c r="H47" s="20">
        <v>0.192</v>
      </c>
      <c r="I47" s="11">
        <f t="shared" ref="I47:K47" si="81">F47*50</f>
        <v>9.84</v>
      </c>
      <c r="J47" s="11">
        <f t="shared" si="81"/>
        <v>11.095</v>
      </c>
      <c r="K47" s="11">
        <f t="shared" si="81"/>
        <v>9.6</v>
      </c>
      <c r="L47" s="11">
        <f t="shared" ref="L47:N47" si="82">(I47-0.0243)/0.0772</f>
        <v>127.1463731</v>
      </c>
      <c r="M47" s="11">
        <f t="shared" si="82"/>
        <v>143.4028497</v>
      </c>
      <c r="N47" s="11">
        <f t="shared" si="82"/>
        <v>124.0375648</v>
      </c>
      <c r="O47" s="11">
        <f t="shared" si="70"/>
        <v>131.5289292</v>
      </c>
      <c r="P47" s="11">
        <f t="shared" ref="P47:R47" si="83">(($AA$6-L47)/$AA$6)*100</f>
        <v>68.21340674</v>
      </c>
      <c r="Q47" s="11">
        <f t="shared" si="83"/>
        <v>64.14928756</v>
      </c>
      <c r="R47" s="11">
        <f t="shared" si="83"/>
        <v>68.99060881</v>
      </c>
      <c r="S47" s="14">
        <f t="shared" si="72"/>
        <v>67.1177677</v>
      </c>
      <c r="T47" s="11">
        <f t="shared" si="73"/>
        <v>2.599983945</v>
      </c>
      <c r="U47" s="11">
        <f t="shared" ref="U47:W47" si="84">(($AA$6-L47)/C47)*0.02</f>
        <v>53.92364169</v>
      </c>
      <c r="V47" s="11">
        <f t="shared" si="84"/>
        <v>50.96269121</v>
      </c>
      <c r="W47" s="11">
        <f t="shared" si="84"/>
        <v>54.64602678</v>
      </c>
      <c r="X47" s="11">
        <f t="shared" si="75"/>
        <v>53.17745323</v>
      </c>
      <c r="Y47" s="11">
        <f t="shared" si="76"/>
        <v>1.951752581</v>
      </c>
      <c r="AB47" s="10"/>
    </row>
    <row r="48" ht="15.75" customHeight="1">
      <c r="B48" s="5"/>
      <c r="F48" s="60"/>
      <c r="G48" s="60"/>
      <c r="H48" s="60"/>
      <c r="O48" s="61"/>
      <c r="X48" s="61"/>
      <c r="AB48" s="10"/>
    </row>
    <row r="49" ht="15.75" customHeight="1">
      <c r="B49" s="67" t="s">
        <v>74</v>
      </c>
      <c r="F49" s="60"/>
      <c r="G49" s="60"/>
      <c r="H49" s="60"/>
      <c r="O49" s="61"/>
      <c r="X49" s="61"/>
      <c r="AB49" s="10"/>
    </row>
    <row r="50" ht="15.75" customHeight="1">
      <c r="B50" s="17" t="s">
        <v>322</v>
      </c>
      <c r="C50" s="27"/>
      <c r="D50" s="27"/>
      <c r="E50" s="8"/>
      <c r="F50" s="60"/>
      <c r="G50" s="60"/>
      <c r="H50" s="60"/>
      <c r="O50" s="61"/>
      <c r="X50" s="61"/>
      <c r="AB50" s="10"/>
    </row>
    <row r="51" ht="15.75" customHeight="1">
      <c r="B51" s="48" t="s">
        <v>70</v>
      </c>
      <c r="C51" s="49" t="s">
        <v>5</v>
      </c>
      <c r="D51" s="27"/>
      <c r="E51" s="8"/>
      <c r="F51" s="68" t="s">
        <v>6</v>
      </c>
      <c r="G51" s="27"/>
      <c r="H51" s="8"/>
      <c r="I51" s="49" t="s">
        <v>36</v>
      </c>
      <c r="J51" s="27"/>
      <c r="K51" s="8"/>
      <c r="L51" s="49" t="s">
        <v>37</v>
      </c>
      <c r="M51" s="27"/>
      <c r="N51" s="8"/>
      <c r="O51" s="50" t="s">
        <v>7</v>
      </c>
      <c r="P51" s="49" t="s">
        <v>9</v>
      </c>
      <c r="Q51" s="27"/>
      <c r="R51" s="8"/>
      <c r="S51" s="51" t="s">
        <v>10</v>
      </c>
      <c r="T51" s="50" t="s">
        <v>57</v>
      </c>
      <c r="U51" s="49" t="s">
        <v>11</v>
      </c>
      <c r="V51" s="27"/>
      <c r="W51" s="8"/>
      <c r="X51" s="50" t="s">
        <v>12</v>
      </c>
      <c r="Y51" s="50" t="s">
        <v>57</v>
      </c>
      <c r="AB51" s="10"/>
    </row>
    <row r="52" ht="15.75" customHeight="1">
      <c r="B52" s="22">
        <v>100.0</v>
      </c>
      <c r="C52" s="43">
        <v>0.1006</v>
      </c>
      <c r="D52" s="43">
        <v>0.101</v>
      </c>
      <c r="E52" s="43">
        <v>0.1009</v>
      </c>
      <c r="F52" s="20">
        <v>0.0371</v>
      </c>
      <c r="G52" s="20">
        <v>0.0356</v>
      </c>
      <c r="H52" s="20">
        <v>0.0326</v>
      </c>
      <c r="I52" s="11">
        <f t="shared" ref="I52:K52" si="85">F52*50</f>
        <v>1.855</v>
      </c>
      <c r="J52" s="11">
        <f t="shared" si="85"/>
        <v>1.78</v>
      </c>
      <c r="K52" s="11">
        <f t="shared" si="85"/>
        <v>1.63</v>
      </c>
      <c r="L52" s="11">
        <f t="shared" ref="L52:N52" si="86">(I52-0.0243)/0.0772</f>
        <v>23.71373057</v>
      </c>
      <c r="M52" s="11">
        <f t="shared" si="86"/>
        <v>22.74222798</v>
      </c>
      <c r="N52" s="11">
        <f t="shared" si="86"/>
        <v>20.7992228</v>
      </c>
      <c r="O52" s="11">
        <f t="shared" ref="O52:O55" si="91">AVERAGE(L52:N52)</f>
        <v>22.41839378</v>
      </c>
      <c r="P52" s="11">
        <f t="shared" ref="P52:R52" si="87">(($AA$3-L52)/$AA$3)*100</f>
        <v>76.28626943</v>
      </c>
      <c r="Q52" s="11">
        <f t="shared" si="87"/>
        <v>77.25777202</v>
      </c>
      <c r="R52" s="11">
        <f t="shared" si="87"/>
        <v>79.2007772</v>
      </c>
      <c r="S52" s="14">
        <f t="shared" ref="S52:S55" si="93">AVERAGE(P52:R52)</f>
        <v>77.58160622</v>
      </c>
      <c r="T52" s="11">
        <f t="shared" ref="T52:T55" si="94">STDEV(P52:R52)</f>
        <v>1.48399472</v>
      </c>
      <c r="U52" s="11">
        <f t="shared" ref="U52:W52" si="88">(($AA$3-L52)/C52)*0.02</f>
        <v>15.16625635</v>
      </c>
      <c r="V52" s="11">
        <f t="shared" si="88"/>
        <v>15.29856872</v>
      </c>
      <c r="W52" s="11">
        <f t="shared" si="88"/>
        <v>15.69886565</v>
      </c>
      <c r="X52" s="11">
        <f t="shared" ref="X52:X55" si="96">AVERAGE(U52:W52)</f>
        <v>15.3878969</v>
      </c>
      <c r="Y52" s="11">
        <f t="shared" ref="Y52:Y55" si="97">STDEV(U52:W52)</f>
        <v>0.2773135606</v>
      </c>
      <c r="AB52" s="10"/>
    </row>
    <row r="53" ht="15.75" customHeight="1">
      <c r="B53" s="22">
        <v>200.0</v>
      </c>
      <c r="C53" s="43">
        <v>0.1009</v>
      </c>
      <c r="D53" s="43">
        <v>0.1013</v>
      </c>
      <c r="E53" s="43">
        <v>0.1011</v>
      </c>
      <c r="F53" s="20">
        <v>0.1112</v>
      </c>
      <c r="G53" s="20">
        <v>0.1298</v>
      </c>
      <c r="H53" s="20">
        <v>0.1049</v>
      </c>
      <c r="I53" s="11">
        <f t="shared" ref="I53:K53" si="89">F53*50</f>
        <v>5.56</v>
      </c>
      <c r="J53" s="11">
        <f t="shared" si="89"/>
        <v>6.49</v>
      </c>
      <c r="K53" s="11">
        <f t="shared" si="89"/>
        <v>5.245</v>
      </c>
      <c r="L53" s="11">
        <f t="shared" ref="L53:N53" si="90">(I53-0.0243)/0.0772</f>
        <v>71.70595855</v>
      </c>
      <c r="M53" s="11">
        <f t="shared" si="90"/>
        <v>83.75259067</v>
      </c>
      <c r="N53" s="11">
        <f t="shared" si="90"/>
        <v>67.62564767</v>
      </c>
      <c r="O53" s="11">
        <f t="shared" si="91"/>
        <v>74.36139896</v>
      </c>
      <c r="P53" s="11">
        <f t="shared" ref="P53:R53" si="92">(($AA$4-L53)/$AA$4)*100</f>
        <v>64.14702073</v>
      </c>
      <c r="Q53" s="11">
        <f t="shared" si="92"/>
        <v>58.12370466</v>
      </c>
      <c r="R53" s="11">
        <f t="shared" si="92"/>
        <v>66.18717617</v>
      </c>
      <c r="S53" s="14">
        <f t="shared" si="93"/>
        <v>62.81930052</v>
      </c>
      <c r="T53" s="11">
        <f t="shared" si="94"/>
        <v>4.19249614</v>
      </c>
      <c r="U53" s="11">
        <f t="shared" ref="U53:W53" si="95">(($AA$4-L53)/C53)*0.02</f>
        <v>25.42993884</v>
      </c>
      <c r="V53" s="11">
        <f t="shared" si="95"/>
        <v>22.95111734</v>
      </c>
      <c r="W53" s="11">
        <f t="shared" si="95"/>
        <v>26.1868155</v>
      </c>
      <c r="X53" s="11">
        <f t="shared" si="96"/>
        <v>24.85595723</v>
      </c>
      <c r="Y53" s="11">
        <f t="shared" si="97"/>
        <v>1.692491303</v>
      </c>
      <c r="AB53" s="10"/>
    </row>
    <row r="54" ht="15.75" customHeight="1">
      <c r="B54" s="22">
        <v>300.0</v>
      </c>
      <c r="C54" s="43">
        <v>0.1</v>
      </c>
      <c r="D54" s="43">
        <v>0.1006</v>
      </c>
      <c r="E54" s="43">
        <v>0.1</v>
      </c>
      <c r="F54" s="20">
        <v>0.2793</v>
      </c>
      <c r="G54" s="20">
        <v>0.2642</v>
      </c>
      <c r="H54" s="20">
        <v>0.3009</v>
      </c>
      <c r="I54" s="11">
        <f t="shared" ref="I54:K54" si="98">F54*50</f>
        <v>13.965</v>
      </c>
      <c r="J54" s="11">
        <f t="shared" si="98"/>
        <v>13.21</v>
      </c>
      <c r="K54" s="11">
        <f t="shared" si="98"/>
        <v>15.045</v>
      </c>
      <c r="L54" s="11">
        <f t="shared" ref="L54:N54" si="99">(I54-0.0243)/0.0772</f>
        <v>180.5790155</v>
      </c>
      <c r="M54" s="11">
        <f t="shared" si="99"/>
        <v>170.7992228</v>
      </c>
      <c r="N54" s="11">
        <f t="shared" si="99"/>
        <v>194.5686528</v>
      </c>
      <c r="O54" s="11">
        <f t="shared" si="91"/>
        <v>181.9822971</v>
      </c>
      <c r="P54" s="11">
        <f t="shared" ref="P54:R54" si="100">(($AA$5-L54)/$AA$5)*100</f>
        <v>39.80699482</v>
      </c>
      <c r="Q54" s="11">
        <f t="shared" si="100"/>
        <v>43.06692573</v>
      </c>
      <c r="R54" s="11">
        <f t="shared" si="100"/>
        <v>35.14378238</v>
      </c>
      <c r="S54" s="14">
        <f t="shared" si="93"/>
        <v>39.33923431</v>
      </c>
      <c r="T54" s="11">
        <f t="shared" si="94"/>
        <v>3.982229282</v>
      </c>
      <c r="U54" s="11">
        <f t="shared" ref="U54:W54" si="101">(($AA$5-L54)/C54)*0.02</f>
        <v>23.88419689</v>
      </c>
      <c r="V54" s="11">
        <f t="shared" si="101"/>
        <v>25.68603921</v>
      </c>
      <c r="W54" s="11">
        <f t="shared" si="101"/>
        <v>21.08626943</v>
      </c>
      <c r="X54" s="11">
        <f t="shared" si="96"/>
        <v>23.55216851</v>
      </c>
      <c r="Y54" s="11">
        <f t="shared" si="97"/>
        <v>2.317790463</v>
      </c>
      <c r="AB54" s="10"/>
    </row>
    <row r="55" ht="15.75" customHeight="1">
      <c r="B55" s="22">
        <v>400.0</v>
      </c>
      <c r="C55" s="43">
        <v>0.1011</v>
      </c>
      <c r="D55" s="43">
        <v>0.1014</v>
      </c>
      <c r="E55" s="43"/>
      <c r="F55" s="20">
        <v>0.4797</v>
      </c>
      <c r="G55" s="20">
        <v>0.4751</v>
      </c>
      <c r="H55" s="20"/>
      <c r="I55" s="11">
        <f t="shared" ref="I55:J55" si="102">F55*50</f>
        <v>23.985</v>
      </c>
      <c r="J55" s="11">
        <f t="shared" si="102"/>
        <v>23.755</v>
      </c>
      <c r="K55" s="11"/>
      <c r="L55" s="11">
        <f t="shared" ref="L55:M55" si="103">(I55-0.0243)/0.0772</f>
        <v>310.3717617</v>
      </c>
      <c r="M55" s="11">
        <f t="shared" si="103"/>
        <v>307.392487</v>
      </c>
      <c r="N55" s="11"/>
      <c r="O55" s="11">
        <f t="shared" si="91"/>
        <v>308.8821244</v>
      </c>
      <c r="P55" s="11">
        <f t="shared" ref="P55:Q55" si="104">(($AA$6-L55)/$AA$6)*100</f>
        <v>22.40705959</v>
      </c>
      <c r="Q55" s="11">
        <f t="shared" si="104"/>
        <v>23.15187824</v>
      </c>
      <c r="R55" s="11"/>
      <c r="S55" s="14">
        <f t="shared" si="93"/>
        <v>22.77946891</v>
      </c>
      <c r="T55" s="11">
        <f t="shared" si="94"/>
        <v>0.5266663202</v>
      </c>
      <c r="U55" s="11">
        <f t="shared" ref="U55:V55" si="105">(($AA$6-L55)/C55)*0.02</f>
        <v>17.73061095</v>
      </c>
      <c r="V55" s="11">
        <f t="shared" si="105"/>
        <v>18.26578165</v>
      </c>
      <c r="W55" s="11"/>
      <c r="X55" s="11">
        <f t="shared" si="96"/>
        <v>17.9981963</v>
      </c>
      <c r="Y55" s="11">
        <f t="shared" si="97"/>
        <v>0.3784228308</v>
      </c>
      <c r="AB55" s="10"/>
    </row>
    <row r="56" ht="15.75" customHeight="1">
      <c r="B56" s="5"/>
      <c r="F56" s="60"/>
      <c r="G56" s="60"/>
      <c r="H56" s="60"/>
      <c r="O56" s="61"/>
      <c r="X56" s="61"/>
      <c r="AB56" s="10"/>
    </row>
    <row r="57" ht="15.75" customHeight="1">
      <c r="B57" s="67" t="s">
        <v>74</v>
      </c>
      <c r="F57" s="60"/>
      <c r="G57" s="60"/>
      <c r="H57" s="60"/>
      <c r="O57" s="61"/>
      <c r="X57" s="61"/>
      <c r="AB57" s="10"/>
    </row>
    <row r="58" ht="15.75" customHeight="1">
      <c r="B58" s="17" t="s">
        <v>326</v>
      </c>
      <c r="C58" s="27"/>
      <c r="D58" s="27"/>
      <c r="E58" s="8"/>
      <c r="F58" s="60"/>
      <c r="G58" s="60"/>
      <c r="H58" s="60"/>
      <c r="O58" s="61"/>
      <c r="X58" s="61"/>
      <c r="AB58" s="10"/>
    </row>
    <row r="59" ht="15.75" customHeight="1">
      <c r="B59" s="48" t="s">
        <v>70</v>
      </c>
      <c r="C59" s="49" t="s">
        <v>5</v>
      </c>
      <c r="D59" s="27"/>
      <c r="E59" s="8"/>
      <c r="F59" s="68" t="s">
        <v>6</v>
      </c>
      <c r="G59" s="27"/>
      <c r="H59" s="8"/>
      <c r="I59" s="49" t="s">
        <v>36</v>
      </c>
      <c r="J59" s="27"/>
      <c r="K59" s="8"/>
      <c r="L59" s="49" t="s">
        <v>37</v>
      </c>
      <c r="M59" s="27"/>
      <c r="N59" s="8"/>
      <c r="O59" s="50" t="s">
        <v>7</v>
      </c>
      <c r="P59" s="49" t="s">
        <v>9</v>
      </c>
      <c r="Q59" s="27"/>
      <c r="R59" s="8"/>
      <c r="S59" s="51" t="s">
        <v>10</v>
      </c>
      <c r="T59" s="50" t="s">
        <v>57</v>
      </c>
      <c r="U59" s="49" t="s">
        <v>11</v>
      </c>
      <c r="V59" s="27"/>
      <c r="W59" s="8"/>
      <c r="X59" s="50" t="s">
        <v>12</v>
      </c>
      <c r="Y59" s="50" t="s">
        <v>57</v>
      </c>
      <c r="AB59" s="10"/>
    </row>
    <row r="60" ht="15.75" customHeight="1">
      <c r="B60" s="22">
        <v>100.0</v>
      </c>
      <c r="C60" s="43">
        <v>0.1003</v>
      </c>
      <c r="D60" s="43">
        <v>0.1005</v>
      </c>
      <c r="E60" s="43">
        <v>0.1009</v>
      </c>
      <c r="F60" s="20">
        <v>0.0238</v>
      </c>
      <c r="G60" s="20">
        <v>0.0223</v>
      </c>
      <c r="H60" s="20">
        <v>0.0291</v>
      </c>
      <c r="I60" s="11">
        <f t="shared" ref="I60:K60" si="106">F60*50</f>
        <v>1.19</v>
      </c>
      <c r="J60" s="11">
        <f t="shared" si="106"/>
        <v>1.115</v>
      </c>
      <c r="K60" s="11">
        <f t="shared" si="106"/>
        <v>1.455</v>
      </c>
      <c r="L60" s="11">
        <f t="shared" ref="L60:N60" si="107">(I60-0.0243)/0.0772</f>
        <v>15.09974093</v>
      </c>
      <c r="M60" s="11">
        <f t="shared" si="107"/>
        <v>14.12823834</v>
      </c>
      <c r="N60" s="11">
        <f t="shared" si="107"/>
        <v>18.53238342</v>
      </c>
      <c r="O60" s="11">
        <f t="shared" ref="O60:O63" si="112">AVERAGE(L60:N60)</f>
        <v>15.9201209</v>
      </c>
      <c r="P60" s="11">
        <f t="shared" ref="P60:R60" si="108">(($AA$3-L60)/$AA$3)*100</f>
        <v>84.90025907</v>
      </c>
      <c r="Q60" s="11">
        <f t="shared" si="108"/>
        <v>85.87176166</v>
      </c>
      <c r="R60" s="11">
        <f t="shared" si="108"/>
        <v>81.46761658</v>
      </c>
      <c r="S60" s="14">
        <f t="shared" ref="S60:S63" si="114">AVERAGE(P60:R60)</f>
        <v>84.0798791</v>
      </c>
      <c r="T60" s="11">
        <f t="shared" ref="T60:T63" si="115">STDEV(P60:R60)</f>
        <v>2.313847647</v>
      </c>
      <c r="U60" s="11">
        <f t="shared" ref="U60:W60" si="109">(($AA$3-L60)/C60)*0.02</f>
        <v>16.92926402</v>
      </c>
      <c r="V60" s="11">
        <f t="shared" si="109"/>
        <v>17.08890779</v>
      </c>
      <c r="W60" s="11">
        <f t="shared" si="109"/>
        <v>16.14818961</v>
      </c>
      <c r="X60" s="11">
        <f t="shared" ref="X60:X63" si="117">AVERAGE(U60:W60)</f>
        <v>16.72212047</v>
      </c>
      <c r="Y60" s="11">
        <f t="shared" ref="Y60:Y63" si="118">STDEV(U60:W60)</f>
        <v>0.5034074014</v>
      </c>
      <c r="AB60" s="10"/>
    </row>
    <row r="61" ht="15.75" customHeight="1">
      <c r="B61" s="22">
        <v>200.0</v>
      </c>
      <c r="C61" s="43">
        <v>0.1007</v>
      </c>
      <c r="D61" s="43">
        <v>0.1012</v>
      </c>
      <c r="E61" s="43">
        <v>0.1004</v>
      </c>
      <c r="F61" s="20">
        <v>0.1185</v>
      </c>
      <c r="G61" s="20">
        <v>0.1616</v>
      </c>
      <c r="H61" s="20">
        <v>0.1361</v>
      </c>
      <c r="I61" s="11">
        <f t="shared" ref="I61:K61" si="110">F61*50</f>
        <v>5.925</v>
      </c>
      <c r="J61" s="11">
        <f t="shared" si="110"/>
        <v>8.08</v>
      </c>
      <c r="K61" s="11">
        <f t="shared" si="110"/>
        <v>6.805</v>
      </c>
      <c r="L61" s="11">
        <f t="shared" ref="L61:N61" si="111">(I61-0.0243)/0.0772</f>
        <v>76.43393782</v>
      </c>
      <c r="M61" s="11">
        <f t="shared" si="111"/>
        <v>104.3484456</v>
      </c>
      <c r="N61" s="11">
        <f t="shared" si="111"/>
        <v>87.83290155</v>
      </c>
      <c r="O61" s="11">
        <f t="shared" si="112"/>
        <v>89.53842832</v>
      </c>
      <c r="P61" s="11">
        <f t="shared" ref="P61:R61" si="113">(($AA$4-L61)/$AA$4)*100</f>
        <v>61.78303109</v>
      </c>
      <c r="Q61" s="11">
        <f t="shared" si="113"/>
        <v>47.8257772</v>
      </c>
      <c r="R61" s="11">
        <f t="shared" si="113"/>
        <v>56.08354922</v>
      </c>
      <c r="S61" s="14">
        <f t="shared" si="114"/>
        <v>55.23078584</v>
      </c>
      <c r="T61" s="11">
        <f t="shared" si="115"/>
        <v>7.017594891</v>
      </c>
      <c r="U61" s="11">
        <f t="shared" ref="U61:W61" si="116">(($AA$4-L61)/C61)*0.02</f>
        <v>24.54142248</v>
      </c>
      <c r="V61" s="11">
        <f t="shared" si="116"/>
        <v>18.90346925</v>
      </c>
      <c r="W61" s="11">
        <f t="shared" si="116"/>
        <v>22.34404352</v>
      </c>
      <c r="X61" s="11">
        <f t="shared" si="117"/>
        <v>21.92964508</v>
      </c>
      <c r="Y61" s="11">
        <f t="shared" si="118"/>
        <v>2.841728998</v>
      </c>
      <c r="AB61" s="10"/>
    </row>
    <row r="62" ht="15.75" customHeight="1">
      <c r="B62" s="22">
        <v>300.0</v>
      </c>
      <c r="C62" s="43">
        <v>0.1006</v>
      </c>
      <c r="D62" s="43">
        <v>0.1005</v>
      </c>
      <c r="E62" s="43">
        <v>0.1011</v>
      </c>
      <c r="F62" s="20">
        <v>0.3077</v>
      </c>
      <c r="G62" s="20">
        <v>0.3354</v>
      </c>
      <c r="H62" s="20">
        <v>0.3391</v>
      </c>
      <c r="I62" s="11">
        <f t="shared" ref="I62:K62" si="119">F62*50</f>
        <v>15.385</v>
      </c>
      <c r="J62" s="11">
        <f t="shared" si="119"/>
        <v>16.77</v>
      </c>
      <c r="K62" s="11">
        <f t="shared" si="119"/>
        <v>16.955</v>
      </c>
      <c r="L62" s="11">
        <f t="shared" ref="L62:N62" si="120">(I62-0.0243)/0.0772</f>
        <v>198.9727979</v>
      </c>
      <c r="M62" s="11">
        <f t="shared" si="120"/>
        <v>216.9132124</v>
      </c>
      <c r="N62" s="11">
        <f t="shared" si="120"/>
        <v>219.3095855</v>
      </c>
      <c r="O62" s="11">
        <f t="shared" si="112"/>
        <v>211.7318653</v>
      </c>
      <c r="P62" s="11">
        <f t="shared" ref="P62:R62" si="121">(($AA$5-L62)/$AA$5)*100</f>
        <v>33.67573402</v>
      </c>
      <c r="Q62" s="11">
        <f t="shared" si="121"/>
        <v>27.69559585</v>
      </c>
      <c r="R62" s="11">
        <f t="shared" si="121"/>
        <v>26.89680484</v>
      </c>
      <c r="S62" s="14">
        <f t="shared" si="114"/>
        <v>29.42271157</v>
      </c>
      <c r="T62" s="11">
        <f t="shared" si="115"/>
        <v>3.704816697</v>
      </c>
      <c r="U62" s="11">
        <f t="shared" ref="U62:W62" si="122">(($AA$5-L62)/C62)*0.02</f>
        <v>20.08493083</v>
      </c>
      <c r="V62" s="11">
        <f t="shared" si="122"/>
        <v>16.53468409</v>
      </c>
      <c r="W62" s="11">
        <f t="shared" si="122"/>
        <v>15.96249545</v>
      </c>
      <c r="X62" s="11">
        <f t="shared" si="117"/>
        <v>17.52737012</v>
      </c>
      <c r="Y62" s="11">
        <f t="shared" si="118"/>
        <v>2.233313129</v>
      </c>
      <c r="AB62" s="10"/>
    </row>
    <row r="63" ht="15.75" customHeight="1">
      <c r="B63" s="22">
        <v>400.0</v>
      </c>
      <c r="C63" s="43">
        <v>0.1005</v>
      </c>
      <c r="D63" s="43">
        <v>0.1001</v>
      </c>
      <c r="E63" s="43"/>
      <c r="F63" s="20">
        <v>0.5149</v>
      </c>
      <c r="G63" s="20">
        <v>0.4906</v>
      </c>
      <c r="H63" s="20"/>
      <c r="I63" s="11">
        <f t="shared" ref="I63:J63" si="123">F63*50</f>
        <v>25.745</v>
      </c>
      <c r="J63" s="11">
        <f t="shared" si="123"/>
        <v>24.53</v>
      </c>
      <c r="K63" s="11"/>
      <c r="L63" s="11">
        <f t="shared" ref="L63:M63" si="124">(I63-0.0243)/0.0772</f>
        <v>333.1696891</v>
      </c>
      <c r="M63" s="11">
        <f t="shared" si="124"/>
        <v>317.4313472</v>
      </c>
      <c r="N63" s="11"/>
      <c r="O63" s="11">
        <f t="shared" si="112"/>
        <v>325.3005181</v>
      </c>
      <c r="P63" s="11">
        <f t="shared" ref="P63:Q63" si="125">(($AA$6-L63)/$AA$6)*100</f>
        <v>16.70757772</v>
      </c>
      <c r="Q63" s="11">
        <f t="shared" si="125"/>
        <v>20.64216321</v>
      </c>
      <c r="R63" s="11"/>
      <c r="S63" s="14">
        <f t="shared" si="114"/>
        <v>18.67487047</v>
      </c>
      <c r="T63" s="11">
        <f t="shared" si="115"/>
        <v>2.782172083</v>
      </c>
      <c r="U63" s="11">
        <f t="shared" ref="U63:V63" si="126">(($AA$6-L63)/C63)*0.02</f>
        <v>13.29956435</v>
      </c>
      <c r="V63" s="11">
        <f t="shared" si="126"/>
        <v>16.49723334</v>
      </c>
      <c r="W63" s="11"/>
      <c r="X63" s="11">
        <f t="shared" si="117"/>
        <v>14.89839885</v>
      </c>
      <c r="Y63" s="11">
        <f t="shared" si="118"/>
        <v>2.261093421</v>
      </c>
      <c r="AB63" s="10"/>
    </row>
    <row r="64" ht="15.75" customHeight="1">
      <c r="B64" s="5"/>
      <c r="F64" s="60"/>
      <c r="G64" s="60"/>
      <c r="H64" s="60"/>
      <c r="O64" s="61"/>
      <c r="X64" s="61"/>
      <c r="AB64" s="10"/>
    </row>
    <row r="65" ht="15.75" customHeight="1">
      <c r="B65" s="5"/>
      <c r="F65" s="60"/>
      <c r="G65" s="60"/>
      <c r="H65" s="60"/>
      <c r="O65" s="61"/>
      <c r="X65" s="61"/>
      <c r="AB65" s="10"/>
    </row>
    <row r="66" ht="15.75" customHeight="1">
      <c r="B66" s="5"/>
      <c r="F66" s="60"/>
      <c r="G66" s="60"/>
      <c r="H66" s="60"/>
      <c r="O66" s="61"/>
      <c r="X66" s="61"/>
      <c r="AB66" s="10"/>
    </row>
    <row r="67" ht="15.75" customHeight="1">
      <c r="B67" s="67" t="s">
        <v>85</v>
      </c>
      <c r="F67" s="60"/>
      <c r="G67" s="60"/>
      <c r="H67" s="60"/>
      <c r="O67" s="61"/>
      <c r="T67" s="6"/>
      <c r="U67" s="6"/>
      <c r="V67" s="6"/>
      <c r="W67" s="6"/>
      <c r="X67" s="6"/>
      <c r="Y67" s="6"/>
      <c r="AB67" s="10"/>
    </row>
    <row r="68" ht="15.75" customHeight="1">
      <c r="B68" s="17" t="s">
        <v>291</v>
      </c>
      <c r="C68" s="27"/>
      <c r="D68" s="27"/>
      <c r="E68" s="8"/>
      <c r="F68" s="60"/>
      <c r="G68" s="60"/>
      <c r="H68" s="60"/>
      <c r="O68" s="61"/>
      <c r="T68" s="6"/>
      <c r="U68" s="6"/>
      <c r="V68" s="6"/>
      <c r="W68" s="6"/>
      <c r="X68" s="6"/>
      <c r="Y68" s="6"/>
      <c r="AB68" s="10"/>
    </row>
    <row r="69" ht="15.75" customHeight="1">
      <c r="B69" s="5"/>
      <c r="F69" s="60"/>
      <c r="G69" s="60"/>
      <c r="H69" s="60"/>
      <c r="O69" s="61"/>
      <c r="T69" s="6"/>
      <c r="U69" s="6"/>
      <c r="V69" s="6"/>
      <c r="W69" s="6"/>
      <c r="X69" s="6"/>
      <c r="Y69" s="6"/>
      <c r="AB69" s="10"/>
    </row>
    <row r="70" ht="15.75" customHeight="1">
      <c r="B70" s="48" t="s">
        <v>70</v>
      </c>
      <c r="C70" s="49" t="s">
        <v>5</v>
      </c>
      <c r="D70" s="27"/>
      <c r="E70" s="8"/>
      <c r="F70" s="68" t="s">
        <v>6</v>
      </c>
      <c r="G70" s="27"/>
      <c r="H70" s="8"/>
      <c r="I70" s="49" t="s">
        <v>36</v>
      </c>
      <c r="J70" s="27"/>
      <c r="K70" s="8"/>
      <c r="L70" s="49" t="s">
        <v>37</v>
      </c>
      <c r="M70" s="27"/>
      <c r="N70" s="8"/>
      <c r="O70" s="50" t="s">
        <v>7</v>
      </c>
      <c r="P70" s="49" t="s">
        <v>9</v>
      </c>
      <c r="Q70" s="27"/>
      <c r="R70" s="8"/>
      <c r="S70" s="51" t="s">
        <v>10</v>
      </c>
      <c r="T70" s="50" t="s">
        <v>57</v>
      </c>
      <c r="U70" s="49" t="s">
        <v>11</v>
      </c>
      <c r="V70" s="27"/>
      <c r="W70" s="8"/>
      <c r="X70" s="50" t="s">
        <v>12</v>
      </c>
      <c r="Y70" s="50" t="s">
        <v>57</v>
      </c>
      <c r="AB70" s="10"/>
    </row>
    <row r="71" ht="15.75" customHeight="1">
      <c r="B71" s="22">
        <v>100.0</v>
      </c>
      <c r="C71" s="43">
        <v>0.1008</v>
      </c>
      <c r="D71" s="43">
        <v>0.1003</v>
      </c>
      <c r="E71" s="43">
        <v>0.1003</v>
      </c>
      <c r="F71" s="20">
        <v>0.0162</v>
      </c>
      <c r="G71" s="20">
        <v>0.0288</v>
      </c>
      <c r="H71" s="20">
        <v>0.0287</v>
      </c>
      <c r="I71" s="11">
        <f t="shared" ref="I71:K71" si="127">F71*50</f>
        <v>0.81</v>
      </c>
      <c r="J71" s="11">
        <f t="shared" si="127"/>
        <v>1.44</v>
      </c>
      <c r="K71" s="11">
        <f t="shared" si="127"/>
        <v>1.435</v>
      </c>
      <c r="L71" s="11">
        <f t="shared" ref="L71:N71" si="128">(I71-0.0243)/0.0772</f>
        <v>10.17746114</v>
      </c>
      <c r="M71" s="11">
        <f t="shared" si="128"/>
        <v>18.3380829</v>
      </c>
      <c r="N71" s="11">
        <f t="shared" si="128"/>
        <v>18.27331606</v>
      </c>
      <c r="O71" s="11">
        <f t="shared" ref="O71:O74" si="133">AVERAGE(L71:N71)</f>
        <v>15.5962867</v>
      </c>
      <c r="P71" s="11">
        <f t="shared" ref="P71:R71" si="129">(($AA$3-L71)/$AA$3)*100</f>
        <v>89.82253886</v>
      </c>
      <c r="Q71" s="11">
        <f t="shared" si="129"/>
        <v>81.6619171</v>
      </c>
      <c r="R71" s="11">
        <f t="shared" si="129"/>
        <v>81.72668394</v>
      </c>
      <c r="S71" s="14">
        <f t="shared" ref="S71:S74" si="135">AVERAGE(P71:R71)</f>
        <v>84.4037133</v>
      </c>
      <c r="T71" s="11">
        <f t="shared" ref="T71:T74" si="136">STDEV(P71:R71)</f>
        <v>4.692952326</v>
      </c>
      <c r="U71" s="11">
        <f t="shared" ref="U71:W71" si="130">(($AA$3-L71)/C71)*0.02</f>
        <v>17.82193231</v>
      </c>
      <c r="V71" s="11">
        <f t="shared" si="130"/>
        <v>16.28353282</v>
      </c>
      <c r="W71" s="11">
        <f t="shared" si="130"/>
        <v>16.29644745</v>
      </c>
      <c r="X71" s="11">
        <f t="shared" ref="X71:X74" si="138">AVERAGE(U71:W71)</f>
        <v>16.80063753</v>
      </c>
      <c r="Y71" s="11">
        <f t="shared" ref="Y71:Y74" si="139">STDEV(U71:W71)</f>
        <v>0.8844908016</v>
      </c>
      <c r="AB71" s="10"/>
    </row>
    <row r="72" ht="15.75" customHeight="1">
      <c r="B72" s="22">
        <v>200.0</v>
      </c>
      <c r="C72" s="43">
        <v>0.1001</v>
      </c>
      <c r="D72" s="43">
        <v>0.1012</v>
      </c>
      <c r="E72" s="43">
        <v>0.1005</v>
      </c>
      <c r="F72" s="20">
        <v>0.0476</v>
      </c>
      <c r="G72" s="20">
        <v>0.0463</v>
      </c>
      <c r="H72" s="20">
        <v>0.0479</v>
      </c>
      <c r="I72" s="11">
        <f t="shared" ref="I72:K72" si="131">F72*50</f>
        <v>2.38</v>
      </c>
      <c r="J72" s="11">
        <f t="shared" si="131"/>
        <v>2.315</v>
      </c>
      <c r="K72" s="11">
        <f t="shared" si="131"/>
        <v>2.395</v>
      </c>
      <c r="L72" s="11">
        <f t="shared" ref="L72:N72" si="132">(I72-0.0243)/0.0772</f>
        <v>30.5142487</v>
      </c>
      <c r="M72" s="11">
        <f t="shared" si="132"/>
        <v>29.67227979</v>
      </c>
      <c r="N72" s="11">
        <f t="shared" si="132"/>
        <v>30.70854922</v>
      </c>
      <c r="O72" s="11">
        <f t="shared" si="133"/>
        <v>30.29835924</v>
      </c>
      <c r="P72" s="11">
        <f t="shared" ref="P72:R72" si="134">(($AA$4-L72)/$AA$4)*100</f>
        <v>84.74287565</v>
      </c>
      <c r="Q72" s="11">
        <f t="shared" si="134"/>
        <v>85.1638601</v>
      </c>
      <c r="R72" s="11">
        <f t="shared" si="134"/>
        <v>84.64572539</v>
      </c>
      <c r="S72" s="14">
        <f t="shared" si="135"/>
        <v>84.85082038</v>
      </c>
      <c r="T72" s="11">
        <f t="shared" si="136"/>
        <v>0.2754177639</v>
      </c>
      <c r="U72" s="11">
        <f t="shared" ref="U72:W72" si="137">(($AA$4-L72)/C72)*0.02</f>
        <v>33.86328697</v>
      </c>
      <c r="V72" s="11">
        <f t="shared" si="137"/>
        <v>33.66160478</v>
      </c>
      <c r="W72" s="11">
        <f t="shared" si="137"/>
        <v>33.68984095</v>
      </c>
      <c r="X72" s="11">
        <f t="shared" si="138"/>
        <v>33.73824424</v>
      </c>
      <c r="Y72" s="11">
        <f t="shared" si="139"/>
        <v>0.1092066149</v>
      </c>
      <c r="AB72" s="10"/>
    </row>
    <row r="73" ht="15.75" customHeight="1">
      <c r="B73" s="22">
        <v>300.0</v>
      </c>
      <c r="C73" s="43">
        <v>0.1</v>
      </c>
      <c r="D73" s="43">
        <v>0.1002</v>
      </c>
      <c r="E73" s="43">
        <v>0.1008</v>
      </c>
      <c r="F73" s="20">
        <v>0.0518</v>
      </c>
      <c r="G73" s="20">
        <v>0.0829</v>
      </c>
      <c r="H73" s="20">
        <v>0.0848</v>
      </c>
      <c r="I73" s="11">
        <f t="shared" ref="I73:K73" si="140">F73*50</f>
        <v>2.59</v>
      </c>
      <c r="J73" s="11">
        <f t="shared" si="140"/>
        <v>4.145</v>
      </c>
      <c r="K73" s="11">
        <f t="shared" si="140"/>
        <v>4.24</v>
      </c>
      <c r="L73" s="11">
        <f t="shared" ref="L73:N73" si="141">(I73-0.0243)/0.0772</f>
        <v>33.23445596</v>
      </c>
      <c r="M73" s="11">
        <f t="shared" si="141"/>
        <v>53.37694301</v>
      </c>
      <c r="N73" s="11">
        <f t="shared" si="141"/>
        <v>54.60751295</v>
      </c>
      <c r="O73" s="11">
        <f t="shared" si="133"/>
        <v>47.07297064</v>
      </c>
      <c r="P73" s="11">
        <f t="shared" ref="P73:R73" si="142">(($AA$5-L73)/$AA$5)*100</f>
        <v>88.92184801</v>
      </c>
      <c r="Q73" s="11">
        <f t="shared" si="142"/>
        <v>82.20768566</v>
      </c>
      <c r="R73" s="11">
        <f t="shared" si="142"/>
        <v>81.79749568</v>
      </c>
      <c r="S73" s="14">
        <f t="shared" si="135"/>
        <v>84.30900979</v>
      </c>
      <c r="T73" s="11">
        <f t="shared" si="136"/>
        <v>4.000096416</v>
      </c>
      <c r="U73" s="11">
        <f t="shared" ref="U73:W73" si="143">(($AA$5-L73)/C73)*0.02</f>
        <v>53.35310881</v>
      </c>
      <c r="V73" s="11">
        <f t="shared" si="143"/>
        <v>49.22615908</v>
      </c>
      <c r="W73" s="11">
        <f t="shared" si="143"/>
        <v>48.68898553</v>
      </c>
      <c r="X73" s="11">
        <f t="shared" si="138"/>
        <v>50.42275114</v>
      </c>
      <c r="Y73" s="11">
        <f t="shared" si="139"/>
        <v>2.551937678</v>
      </c>
      <c r="AB73" s="10"/>
    </row>
    <row r="74" ht="15.75" customHeight="1">
      <c r="B74" s="22">
        <v>400.0</v>
      </c>
      <c r="C74" s="43">
        <v>0.1003</v>
      </c>
      <c r="D74" s="43">
        <v>0.1002</v>
      </c>
      <c r="E74" s="43">
        <v>0.1003</v>
      </c>
      <c r="F74" s="20">
        <v>0.2522</v>
      </c>
      <c r="G74" s="20">
        <v>0.2275</v>
      </c>
      <c r="H74" s="20">
        <v>0.158</v>
      </c>
      <c r="I74" s="11">
        <f t="shared" ref="I74:K74" si="144">F74*50</f>
        <v>12.61</v>
      </c>
      <c r="J74" s="11">
        <f t="shared" si="144"/>
        <v>11.375</v>
      </c>
      <c r="K74" s="11">
        <f t="shared" si="144"/>
        <v>7.9</v>
      </c>
      <c r="L74" s="11">
        <f t="shared" ref="L74:N74" si="145">(I74-0.0243)/0.0772</f>
        <v>163.0272021</v>
      </c>
      <c r="M74" s="11">
        <f t="shared" si="145"/>
        <v>147.0297927</v>
      </c>
      <c r="N74" s="11">
        <f t="shared" si="145"/>
        <v>102.0168394</v>
      </c>
      <c r="O74" s="11">
        <f t="shared" si="133"/>
        <v>137.3579447</v>
      </c>
      <c r="P74" s="11">
        <f t="shared" ref="P74:R74" si="146">(($AA$6-L74)/$AA$6)*100</f>
        <v>59.24319948</v>
      </c>
      <c r="Q74" s="11">
        <f t="shared" si="146"/>
        <v>63.24255181</v>
      </c>
      <c r="R74" s="11">
        <f t="shared" si="146"/>
        <v>74.49579016</v>
      </c>
      <c r="S74" s="14">
        <f t="shared" si="135"/>
        <v>65.66051382</v>
      </c>
      <c r="T74" s="11">
        <f t="shared" si="136"/>
        <v>7.908557754</v>
      </c>
      <c r="U74" s="11">
        <f t="shared" ref="U74:W74" si="147">(($AA$6-L74)/C74)*0.02</f>
        <v>47.25280118</v>
      </c>
      <c r="V74" s="11">
        <f t="shared" si="147"/>
        <v>50.49305534</v>
      </c>
      <c r="W74" s="11">
        <f t="shared" si="147"/>
        <v>59.41837699</v>
      </c>
      <c r="X74" s="11">
        <f t="shared" si="138"/>
        <v>52.38807784</v>
      </c>
      <c r="Y74" s="11">
        <f t="shared" si="139"/>
        <v>6.300288994</v>
      </c>
      <c r="AB74" s="10"/>
    </row>
    <row r="75" ht="15.75" customHeight="1">
      <c r="B75" s="5"/>
      <c r="F75" s="60"/>
      <c r="G75" s="60"/>
      <c r="H75" s="60"/>
      <c r="O75" s="61"/>
      <c r="X75" s="61"/>
      <c r="AB75" s="10"/>
    </row>
    <row r="76" ht="15.75" customHeight="1">
      <c r="B76" s="67" t="s">
        <v>85</v>
      </c>
      <c r="F76" s="60"/>
      <c r="G76" s="60"/>
      <c r="H76" s="60"/>
      <c r="O76" s="61"/>
      <c r="X76" s="61"/>
      <c r="AB76" s="10"/>
    </row>
    <row r="77" ht="15.75" customHeight="1">
      <c r="B77" s="17" t="s">
        <v>322</v>
      </c>
      <c r="C77" s="27"/>
      <c r="D77" s="27"/>
      <c r="E77" s="8"/>
      <c r="F77" s="60"/>
      <c r="G77" s="60"/>
      <c r="H77" s="60"/>
      <c r="O77" s="61"/>
      <c r="X77" s="61"/>
      <c r="AB77" s="10"/>
    </row>
    <row r="78" ht="15.75" customHeight="1">
      <c r="B78" s="48" t="s">
        <v>70</v>
      </c>
      <c r="C78" s="49" t="s">
        <v>5</v>
      </c>
      <c r="D78" s="27"/>
      <c r="E78" s="8"/>
      <c r="F78" s="68" t="s">
        <v>6</v>
      </c>
      <c r="G78" s="27"/>
      <c r="H78" s="8"/>
      <c r="I78" s="49" t="s">
        <v>36</v>
      </c>
      <c r="J78" s="27"/>
      <c r="K78" s="8"/>
      <c r="L78" s="49" t="s">
        <v>37</v>
      </c>
      <c r="M78" s="27"/>
      <c r="N78" s="8"/>
      <c r="O78" s="50" t="s">
        <v>7</v>
      </c>
      <c r="P78" s="49" t="s">
        <v>9</v>
      </c>
      <c r="Q78" s="27"/>
      <c r="R78" s="8"/>
      <c r="S78" s="51" t="s">
        <v>10</v>
      </c>
      <c r="T78" s="50" t="s">
        <v>57</v>
      </c>
      <c r="U78" s="49" t="s">
        <v>11</v>
      </c>
      <c r="V78" s="27"/>
      <c r="W78" s="8"/>
      <c r="X78" s="50" t="s">
        <v>12</v>
      </c>
      <c r="Y78" s="50" t="s">
        <v>57</v>
      </c>
      <c r="AB78" s="10"/>
    </row>
    <row r="79" ht="15.75" customHeight="1">
      <c r="B79" s="22">
        <v>100.0</v>
      </c>
      <c r="C79" s="43">
        <v>0.1</v>
      </c>
      <c r="D79" s="43">
        <v>0.1003</v>
      </c>
      <c r="E79" s="43">
        <v>0.1004</v>
      </c>
      <c r="F79" s="20">
        <v>0.0306</v>
      </c>
      <c r="G79" s="20">
        <v>0.0226</v>
      </c>
      <c r="H79" s="20">
        <v>0.0232</v>
      </c>
      <c r="I79" s="11">
        <f t="shared" ref="I79:K79" si="148">F79*50</f>
        <v>1.53</v>
      </c>
      <c r="J79" s="11">
        <f t="shared" si="148"/>
        <v>1.13</v>
      </c>
      <c r="K79" s="11">
        <f t="shared" si="148"/>
        <v>1.16</v>
      </c>
      <c r="L79" s="11">
        <f t="shared" ref="L79:N79" si="149">(I79-0.0243)/0.0772</f>
        <v>19.50388601</v>
      </c>
      <c r="M79" s="11">
        <f t="shared" si="149"/>
        <v>14.32253886</v>
      </c>
      <c r="N79" s="11">
        <f t="shared" si="149"/>
        <v>14.7111399</v>
      </c>
      <c r="O79" s="11">
        <f t="shared" ref="O79:O82" si="154">AVERAGE(L79:N79)</f>
        <v>16.17918826</v>
      </c>
      <c r="P79" s="11">
        <f t="shared" ref="P79:R79" si="150">(($AA$3-L79)/$AA$3)*100</f>
        <v>80.49611399</v>
      </c>
      <c r="Q79" s="11">
        <f t="shared" si="150"/>
        <v>85.67746114</v>
      </c>
      <c r="R79" s="11">
        <f t="shared" si="150"/>
        <v>85.2888601</v>
      </c>
      <c r="S79" s="14">
        <f t="shared" ref="S79:S82" si="156">AVERAGE(P79:R79)</f>
        <v>83.82081174</v>
      </c>
      <c r="T79" s="11">
        <f t="shared" ref="T79:T82" si="157">STDEV(P79:R79)</f>
        <v>2.885821211</v>
      </c>
      <c r="U79" s="11">
        <f t="shared" ref="U79:W79" si="151">(($AA$3-L79)/C79)*0.02</f>
        <v>16.0992228</v>
      </c>
      <c r="V79" s="11">
        <f t="shared" si="151"/>
        <v>17.08423951</v>
      </c>
      <c r="W79" s="11">
        <f t="shared" si="151"/>
        <v>16.98981277</v>
      </c>
      <c r="X79" s="11">
        <f t="shared" ref="X79:X82" si="159">AVERAGE(U79:W79)</f>
        <v>16.72442503</v>
      </c>
      <c r="Y79" s="11">
        <f t="shared" ref="Y79:Y82" si="160">STDEV(U79:W79)</f>
        <v>0.5434956039</v>
      </c>
      <c r="AB79" s="10"/>
    </row>
    <row r="80" ht="15.75" customHeight="1">
      <c r="B80" s="22">
        <v>200.0</v>
      </c>
      <c r="C80" s="43">
        <v>0.1005</v>
      </c>
      <c r="D80" s="43">
        <v>0.1003</v>
      </c>
      <c r="E80" s="43">
        <v>0.1004</v>
      </c>
      <c r="F80" s="20">
        <v>0.0513</v>
      </c>
      <c r="G80" s="20">
        <v>0.0458</v>
      </c>
      <c r="H80" s="20">
        <v>0.0576</v>
      </c>
      <c r="I80" s="11">
        <f t="shared" ref="I80:K80" si="152">F80*50</f>
        <v>2.565</v>
      </c>
      <c r="J80" s="11">
        <f t="shared" si="152"/>
        <v>2.29</v>
      </c>
      <c r="K80" s="11">
        <f t="shared" si="152"/>
        <v>2.88</v>
      </c>
      <c r="L80" s="11">
        <f t="shared" ref="L80:N80" si="153">(I80-0.0243)/0.0772</f>
        <v>32.91062176</v>
      </c>
      <c r="M80" s="11">
        <f t="shared" si="153"/>
        <v>29.3484456</v>
      </c>
      <c r="N80" s="11">
        <f t="shared" si="153"/>
        <v>36.99093264</v>
      </c>
      <c r="O80" s="11">
        <f t="shared" si="154"/>
        <v>33.08333333</v>
      </c>
      <c r="P80" s="11">
        <f t="shared" ref="P80:R80" si="155">(($AA$4-L80)/$AA$4)*100</f>
        <v>83.54468912</v>
      </c>
      <c r="Q80" s="11">
        <f t="shared" si="155"/>
        <v>85.3257772</v>
      </c>
      <c r="R80" s="11">
        <f t="shared" si="155"/>
        <v>81.50453368</v>
      </c>
      <c r="S80" s="14">
        <f t="shared" si="156"/>
        <v>83.45833333</v>
      </c>
      <c r="T80" s="11">
        <f t="shared" si="157"/>
        <v>1.912084859</v>
      </c>
      <c r="U80" s="11">
        <f t="shared" ref="U80:W80" si="158">(($AA$4-L80)/C80)*0.02</f>
        <v>33.25161756</v>
      </c>
      <c r="V80" s="11">
        <f t="shared" si="158"/>
        <v>34.0282262</v>
      </c>
      <c r="W80" s="11">
        <f t="shared" si="158"/>
        <v>32.47192577</v>
      </c>
      <c r="X80" s="11">
        <f t="shared" si="159"/>
        <v>33.25058984</v>
      </c>
      <c r="Y80" s="11">
        <f t="shared" si="160"/>
        <v>0.7781507259</v>
      </c>
      <c r="AB80" s="10"/>
    </row>
    <row r="81" ht="15.75" customHeight="1">
      <c r="B81" s="22">
        <v>300.0</v>
      </c>
      <c r="C81" s="43">
        <v>0.1009</v>
      </c>
      <c r="D81" s="43">
        <v>0.1002</v>
      </c>
      <c r="E81" s="43">
        <v>0.1003</v>
      </c>
      <c r="F81" s="20">
        <v>0.1471</v>
      </c>
      <c r="G81" s="20">
        <v>0.1008</v>
      </c>
      <c r="H81" s="20">
        <v>0.1433</v>
      </c>
      <c r="I81" s="11">
        <f t="shared" ref="I81:K81" si="161">F81*50</f>
        <v>7.355</v>
      </c>
      <c r="J81" s="11">
        <f t="shared" si="161"/>
        <v>5.04</v>
      </c>
      <c r="K81" s="11">
        <f t="shared" si="161"/>
        <v>7.165</v>
      </c>
      <c r="L81" s="11">
        <f t="shared" ref="L81:N81" si="162">(I81-0.0243)/0.0772</f>
        <v>94.95725389</v>
      </c>
      <c r="M81" s="11">
        <f t="shared" si="162"/>
        <v>64.97020725</v>
      </c>
      <c r="N81" s="11">
        <f t="shared" si="162"/>
        <v>92.49611399</v>
      </c>
      <c r="O81" s="11">
        <f t="shared" si="154"/>
        <v>84.14119171</v>
      </c>
      <c r="P81" s="11">
        <f t="shared" ref="P81:R81" si="163">(($AA$5-L81)/$AA$5)*100</f>
        <v>68.34758204</v>
      </c>
      <c r="Q81" s="11">
        <f t="shared" si="163"/>
        <v>78.34326425</v>
      </c>
      <c r="R81" s="11">
        <f t="shared" si="163"/>
        <v>69.167962</v>
      </c>
      <c r="S81" s="14">
        <f t="shared" si="156"/>
        <v>71.9529361</v>
      </c>
      <c r="T81" s="11">
        <f t="shared" si="157"/>
        <v>5.549367193</v>
      </c>
      <c r="U81" s="11">
        <f t="shared" ref="U81:W81" si="164">(($AA$5-L81)/C81)*0.02</f>
        <v>40.64276434</v>
      </c>
      <c r="V81" s="11">
        <f t="shared" si="164"/>
        <v>46.91213428</v>
      </c>
      <c r="W81" s="11">
        <f t="shared" si="164"/>
        <v>41.37664726</v>
      </c>
      <c r="X81" s="11">
        <f t="shared" si="159"/>
        <v>42.97718196</v>
      </c>
      <c r="Y81" s="11">
        <f t="shared" si="160"/>
        <v>3.427467483</v>
      </c>
      <c r="AB81" s="10"/>
    </row>
    <row r="82" ht="15.75" customHeight="1">
      <c r="B82" s="22">
        <v>400.0</v>
      </c>
      <c r="C82" s="43">
        <v>0.1</v>
      </c>
      <c r="D82" s="43">
        <v>0.1001</v>
      </c>
      <c r="E82" s="43">
        <v>0.1008</v>
      </c>
      <c r="F82" s="20">
        <v>0.2389</v>
      </c>
      <c r="G82" s="20">
        <v>0.2953</v>
      </c>
      <c r="H82" s="20">
        <v>0.2617</v>
      </c>
      <c r="I82" s="11">
        <f t="shared" ref="I82:K82" si="165">F82*50</f>
        <v>11.945</v>
      </c>
      <c r="J82" s="11">
        <f t="shared" si="165"/>
        <v>14.765</v>
      </c>
      <c r="K82" s="11">
        <f t="shared" si="165"/>
        <v>13.085</v>
      </c>
      <c r="L82" s="11">
        <f t="shared" ref="L82:N82" si="166">(I82-0.0243)/0.0772</f>
        <v>154.4132124</v>
      </c>
      <c r="M82" s="11">
        <f t="shared" si="166"/>
        <v>190.9417098</v>
      </c>
      <c r="N82" s="11">
        <f t="shared" si="166"/>
        <v>169.1800518</v>
      </c>
      <c r="O82" s="11">
        <f t="shared" si="154"/>
        <v>171.511658</v>
      </c>
      <c r="P82" s="11">
        <f t="shared" ref="P82:R82" si="167">(($AA$6-L82)/$AA$6)*100</f>
        <v>61.39669689</v>
      </c>
      <c r="Q82" s="11">
        <f t="shared" si="167"/>
        <v>52.26457254</v>
      </c>
      <c r="R82" s="11">
        <f t="shared" si="167"/>
        <v>57.70498705</v>
      </c>
      <c r="S82" s="14">
        <f t="shared" si="156"/>
        <v>57.12208549</v>
      </c>
      <c r="T82" s="11">
        <f t="shared" si="157"/>
        <v>4.593882287</v>
      </c>
      <c r="U82" s="11">
        <f t="shared" ref="U82:W82" si="168">(($AA$6-L82)/C82)*0.02</f>
        <v>49.11735751</v>
      </c>
      <c r="V82" s="11">
        <f t="shared" si="168"/>
        <v>41.76988814</v>
      </c>
      <c r="W82" s="11">
        <f t="shared" si="168"/>
        <v>45.79760877</v>
      </c>
      <c r="X82" s="11">
        <f t="shared" si="159"/>
        <v>45.56161814</v>
      </c>
      <c r="Y82" s="11">
        <f t="shared" si="160"/>
        <v>3.679415065</v>
      </c>
      <c r="AB82" s="10"/>
    </row>
    <row r="83" ht="15.75" customHeight="1">
      <c r="B83" s="5"/>
      <c r="F83" s="60"/>
      <c r="G83" s="60"/>
      <c r="H83" s="60"/>
      <c r="O83" s="61"/>
      <c r="X83" s="61"/>
      <c r="AB83" s="10"/>
    </row>
    <row r="84" ht="15.75" customHeight="1">
      <c r="B84" s="67" t="s">
        <v>85</v>
      </c>
      <c r="F84" s="60"/>
      <c r="G84" s="60"/>
      <c r="H84" s="60"/>
      <c r="O84" s="61"/>
      <c r="X84" s="61"/>
      <c r="AB84" s="10"/>
    </row>
    <row r="85" ht="15.75" customHeight="1">
      <c r="B85" s="17" t="s">
        <v>326</v>
      </c>
      <c r="C85" s="27"/>
      <c r="D85" s="27"/>
      <c r="E85" s="8"/>
      <c r="F85" s="60"/>
      <c r="G85" s="60"/>
      <c r="H85" s="60"/>
      <c r="O85" s="61"/>
      <c r="X85" s="61"/>
      <c r="AB85" s="10"/>
    </row>
    <row r="86" ht="15.75" customHeight="1">
      <c r="B86" s="48" t="s">
        <v>70</v>
      </c>
      <c r="C86" s="49" t="s">
        <v>5</v>
      </c>
      <c r="D86" s="27"/>
      <c r="E86" s="8"/>
      <c r="F86" s="68" t="s">
        <v>6</v>
      </c>
      <c r="G86" s="27"/>
      <c r="H86" s="8"/>
      <c r="I86" s="49" t="s">
        <v>36</v>
      </c>
      <c r="J86" s="27"/>
      <c r="K86" s="8"/>
      <c r="L86" s="49" t="s">
        <v>37</v>
      </c>
      <c r="M86" s="27"/>
      <c r="N86" s="8"/>
      <c r="O86" s="50" t="s">
        <v>7</v>
      </c>
      <c r="P86" s="49" t="s">
        <v>9</v>
      </c>
      <c r="Q86" s="27"/>
      <c r="R86" s="8"/>
      <c r="S86" s="51" t="s">
        <v>10</v>
      </c>
      <c r="T86" s="50" t="s">
        <v>57</v>
      </c>
      <c r="U86" s="49" t="s">
        <v>11</v>
      </c>
      <c r="V86" s="27"/>
      <c r="W86" s="8"/>
      <c r="X86" s="50" t="s">
        <v>12</v>
      </c>
      <c r="Y86" s="50" t="s">
        <v>57</v>
      </c>
      <c r="AB86" s="10"/>
    </row>
    <row r="87" ht="15.75" customHeight="1">
      <c r="B87" s="22">
        <v>100.0</v>
      </c>
      <c r="C87" s="43">
        <v>0.1007</v>
      </c>
      <c r="D87" s="43">
        <v>0.1005</v>
      </c>
      <c r="E87" s="43">
        <v>0.101</v>
      </c>
      <c r="F87" s="20">
        <v>0.0144</v>
      </c>
      <c r="G87" s="20">
        <v>0.0236</v>
      </c>
      <c r="H87" s="20">
        <v>0.0164</v>
      </c>
      <c r="I87" s="11">
        <f t="shared" ref="I87:K87" si="169">F87*50</f>
        <v>0.72</v>
      </c>
      <c r="J87" s="11">
        <f t="shared" si="169"/>
        <v>1.18</v>
      </c>
      <c r="K87" s="11">
        <f t="shared" si="169"/>
        <v>0.82</v>
      </c>
      <c r="L87" s="11">
        <f t="shared" ref="L87:N87" si="170">(I87-0.0243)/0.0772</f>
        <v>9.011658031</v>
      </c>
      <c r="M87" s="11">
        <f t="shared" si="170"/>
        <v>14.97020725</v>
      </c>
      <c r="N87" s="11">
        <f t="shared" si="170"/>
        <v>10.30699482</v>
      </c>
      <c r="O87" s="11">
        <f t="shared" ref="O87:O90" si="175">AVERAGE(L87:N87)</f>
        <v>11.42962003</v>
      </c>
      <c r="P87" s="11">
        <f t="shared" ref="P87:R87" si="171">(($AA$3-L87)/$AA$3)*100</f>
        <v>90.98834197</v>
      </c>
      <c r="Q87" s="11">
        <f t="shared" si="171"/>
        <v>85.02979275</v>
      </c>
      <c r="R87" s="11">
        <f t="shared" si="171"/>
        <v>89.69300518</v>
      </c>
      <c r="S87" s="14">
        <f t="shared" ref="S87:S90" si="177">AVERAGE(P87:R87)</f>
        <v>88.57037997</v>
      </c>
      <c r="T87" s="11">
        <f t="shared" ref="T87:T90" si="178">STDEV(P87:R87)</f>
        <v>3.133894182</v>
      </c>
      <c r="U87" s="11">
        <f t="shared" ref="U87:W87" si="172">(($AA$3-L87)/C87)*0.02</f>
        <v>18.0711702</v>
      </c>
      <c r="V87" s="11">
        <f t="shared" si="172"/>
        <v>16.92135179</v>
      </c>
      <c r="W87" s="11">
        <f t="shared" si="172"/>
        <v>17.76099113</v>
      </c>
      <c r="X87" s="11">
        <f t="shared" ref="X87:X90" si="180">AVERAGE(U87:W87)</f>
        <v>17.58450437</v>
      </c>
      <c r="Y87" s="11">
        <f t="shared" ref="Y87:Y90" si="181">STDEV(U87:W87)</f>
        <v>0.5948792109</v>
      </c>
      <c r="AB87" s="10"/>
    </row>
    <row r="88" ht="15.75" customHeight="1">
      <c r="B88" s="22">
        <v>200.0</v>
      </c>
      <c r="C88" s="43">
        <v>0.1006</v>
      </c>
      <c r="D88" s="43">
        <v>0.1004</v>
      </c>
      <c r="E88" s="43">
        <v>0.1013</v>
      </c>
      <c r="F88" s="20">
        <v>0.1973</v>
      </c>
      <c r="G88" s="20">
        <v>0.1934</v>
      </c>
      <c r="H88" s="20">
        <v>0.1569</v>
      </c>
      <c r="I88" s="11">
        <f t="shared" ref="I88:K88" si="173">F88*50</f>
        <v>9.865</v>
      </c>
      <c r="J88" s="11">
        <f t="shared" si="173"/>
        <v>9.67</v>
      </c>
      <c r="K88" s="11">
        <f t="shared" si="173"/>
        <v>7.845</v>
      </c>
      <c r="L88" s="11">
        <f t="shared" ref="L88:N88" si="174">(I88-0.0243)/0.0772</f>
        <v>127.4702073</v>
      </c>
      <c r="M88" s="11">
        <f t="shared" si="174"/>
        <v>124.9443005</v>
      </c>
      <c r="N88" s="11">
        <f t="shared" si="174"/>
        <v>101.3044041</v>
      </c>
      <c r="O88" s="11">
        <f t="shared" si="175"/>
        <v>117.906304</v>
      </c>
      <c r="P88" s="11">
        <f t="shared" ref="P88:R88" si="176">(($AA$4-L88)/$AA$4)*100</f>
        <v>36.26489637</v>
      </c>
      <c r="Q88" s="11">
        <f t="shared" si="176"/>
        <v>37.52784974</v>
      </c>
      <c r="R88" s="11">
        <f t="shared" si="176"/>
        <v>49.34779793</v>
      </c>
      <c r="S88" s="14">
        <f t="shared" si="177"/>
        <v>41.04684801</v>
      </c>
      <c r="T88" s="11">
        <f t="shared" si="178"/>
        <v>7.21651508</v>
      </c>
      <c r="U88" s="11">
        <f t="shared" ref="U88:W88" si="179">(($AA$4-L88)/C88)*0.02</f>
        <v>14.4194419</v>
      </c>
      <c r="V88" s="11">
        <f t="shared" si="179"/>
        <v>14.95133456</v>
      </c>
      <c r="W88" s="11">
        <f t="shared" si="179"/>
        <v>19.48580372</v>
      </c>
      <c r="X88" s="11">
        <f t="shared" si="180"/>
        <v>16.28552673</v>
      </c>
      <c r="Y88" s="11">
        <f t="shared" si="181"/>
        <v>2.784251621</v>
      </c>
      <c r="AB88" s="10"/>
    </row>
    <row r="89" ht="15.75" customHeight="1">
      <c r="B89" s="22">
        <v>300.0</v>
      </c>
      <c r="C89" s="43">
        <v>0.1011</v>
      </c>
      <c r="D89" s="43">
        <v>0.1004</v>
      </c>
      <c r="E89" s="43">
        <v>0.1004</v>
      </c>
      <c r="F89" s="20">
        <v>0.3652</v>
      </c>
      <c r="G89" s="20">
        <v>0.3489</v>
      </c>
      <c r="H89" s="20">
        <v>0.329</v>
      </c>
      <c r="I89" s="11">
        <f t="shared" ref="I89:K89" si="182">F89*50</f>
        <v>18.26</v>
      </c>
      <c r="J89" s="11">
        <f t="shared" si="182"/>
        <v>17.445</v>
      </c>
      <c r="K89" s="11">
        <f t="shared" si="182"/>
        <v>16.45</v>
      </c>
      <c r="L89" s="11">
        <f t="shared" ref="L89:N89" si="183">(I89-0.0243)/0.0772</f>
        <v>236.2137306</v>
      </c>
      <c r="M89" s="11">
        <f t="shared" si="183"/>
        <v>225.6567358</v>
      </c>
      <c r="N89" s="11">
        <f t="shared" si="183"/>
        <v>212.7681347</v>
      </c>
      <c r="O89" s="11">
        <f t="shared" si="175"/>
        <v>224.8795337</v>
      </c>
      <c r="P89" s="11">
        <f t="shared" ref="P89:R89" si="184">(($AA$5-L89)/$AA$5)*100</f>
        <v>21.26208981</v>
      </c>
      <c r="Q89" s="11">
        <f t="shared" si="184"/>
        <v>24.78108808</v>
      </c>
      <c r="R89" s="11">
        <f t="shared" si="184"/>
        <v>29.07728843</v>
      </c>
      <c r="S89" s="14">
        <f t="shared" si="177"/>
        <v>25.04015544</v>
      </c>
      <c r="T89" s="11">
        <f t="shared" si="178"/>
        <v>3.914034911</v>
      </c>
      <c r="U89" s="11">
        <f t="shared" ref="U89:W89" si="185">(($AA$5-L89)/C89)*0.02</f>
        <v>12.61845093</v>
      </c>
      <c r="V89" s="11">
        <f t="shared" si="185"/>
        <v>14.80941519</v>
      </c>
      <c r="W89" s="11">
        <f t="shared" si="185"/>
        <v>17.37686559</v>
      </c>
      <c r="X89" s="11">
        <f t="shared" si="180"/>
        <v>14.93491057</v>
      </c>
      <c r="Y89" s="11">
        <f t="shared" si="181"/>
        <v>2.381688342</v>
      </c>
      <c r="AB89" s="10"/>
    </row>
    <row r="90" ht="15.75" customHeight="1">
      <c r="B90" s="22">
        <v>400.0</v>
      </c>
      <c r="C90" s="43">
        <v>0.1013</v>
      </c>
      <c r="D90" s="43">
        <v>0.1003</v>
      </c>
      <c r="E90" s="43">
        <v>0.1007</v>
      </c>
      <c r="F90" s="20">
        <v>0.6946</v>
      </c>
      <c r="G90" s="20">
        <v>0.5928</v>
      </c>
      <c r="H90" s="20">
        <v>0.4944</v>
      </c>
      <c r="I90" s="11">
        <f t="shared" ref="I90:K90" si="186">F90*50</f>
        <v>34.73</v>
      </c>
      <c r="J90" s="11">
        <f t="shared" si="186"/>
        <v>29.64</v>
      </c>
      <c r="K90" s="11">
        <f t="shared" si="186"/>
        <v>24.72</v>
      </c>
      <c r="L90" s="11">
        <f t="shared" ref="L90:N90" si="187">(I90-0.0243)/0.0772</f>
        <v>449.5556995</v>
      </c>
      <c r="M90" s="11">
        <f t="shared" si="187"/>
        <v>383.623057</v>
      </c>
      <c r="N90" s="11">
        <f t="shared" si="187"/>
        <v>319.892487</v>
      </c>
      <c r="O90" s="11">
        <f t="shared" si="175"/>
        <v>384.3570812</v>
      </c>
      <c r="P90" s="11">
        <f t="shared" ref="P90:R90" si="188">(($AA$6-L90)/$AA$6)*100</f>
        <v>-12.38892487</v>
      </c>
      <c r="Q90" s="11">
        <f t="shared" si="188"/>
        <v>4.094235751</v>
      </c>
      <c r="R90" s="11">
        <f t="shared" si="188"/>
        <v>20.02687824</v>
      </c>
      <c r="S90" s="14">
        <f t="shared" si="177"/>
        <v>3.910729706</v>
      </c>
      <c r="T90" s="11">
        <f t="shared" si="178"/>
        <v>16.20868066</v>
      </c>
      <c r="U90" s="11">
        <f t="shared" ref="U90:W90" si="189">(($AA$6-L90)/C90)*0.02</f>
        <v>-9.783948565</v>
      </c>
      <c r="V90" s="11">
        <f t="shared" si="189"/>
        <v>3.265591826</v>
      </c>
      <c r="W90" s="11">
        <f t="shared" si="189"/>
        <v>15.91013167</v>
      </c>
      <c r="X90" s="11">
        <f t="shared" si="180"/>
        <v>3.130591643</v>
      </c>
      <c r="Y90" s="11">
        <f t="shared" si="181"/>
        <v>12.84757209</v>
      </c>
      <c r="AB90" s="10"/>
    </row>
    <row r="91" ht="15.75" customHeight="1">
      <c r="B91" s="5"/>
      <c r="F91" s="60"/>
      <c r="G91" s="60"/>
      <c r="H91" s="60"/>
      <c r="O91" s="61"/>
      <c r="X91" s="61"/>
      <c r="AB91" s="10"/>
    </row>
    <row r="92" ht="15.75" customHeight="1">
      <c r="B92" s="5"/>
      <c r="F92" s="60"/>
      <c r="G92" s="60"/>
      <c r="H92" s="60"/>
      <c r="O92" s="61"/>
      <c r="X92" s="61"/>
      <c r="AB92" s="10"/>
    </row>
    <row r="93" ht="15.75" customHeight="1">
      <c r="B93" s="5"/>
      <c r="F93" s="60"/>
      <c r="G93" s="60"/>
      <c r="H93" s="60"/>
      <c r="O93" s="61"/>
      <c r="X93" s="61"/>
      <c r="AB93" s="10"/>
    </row>
    <row r="94" ht="15.75" customHeight="1">
      <c r="B94" s="5"/>
      <c r="F94" s="60"/>
      <c r="G94" s="60"/>
      <c r="H94" s="60"/>
      <c r="O94" s="61"/>
      <c r="X94" s="61"/>
      <c r="AB94" s="10"/>
    </row>
    <row r="95" ht="15.75" customHeight="1">
      <c r="B95" s="5"/>
      <c r="F95" s="60"/>
      <c r="G95" s="60"/>
      <c r="H95" s="60"/>
      <c r="O95" s="61"/>
      <c r="X95" s="61"/>
      <c r="AB95" s="10"/>
    </row>
    <row r="96" ht="15.75" customHeight="1">
      <c r="B96" s="5"/>
      <c r="F96" s="60"/>
      <c r="G96" s="60"/>
      <c r="H96" s="60"/>
      <c r="O96" s="61"/>
      <c r="X96" s="61"/>
      <c r="AB96" s="10"/>
    </row>
    <row r="97" ht="15.75" customHeight="1">
      <c r="B97" s="5"/>
      <c r="F97" s="60"/>
      <c r="G97" s="60"/>
      <c r="H97" s="60"/>
      <c r="O97" s="61"/>
      <c r="X97" s="61"/>
      <c r="AB97" s="10"/>
    </row>
    <row r="98" ht="15.75" customHeight="1">
      <c r="B98" s="5"/>
      <c r="F98" s="60"/>
      <c r="G98" s="60"/>
      <c r="H98" s="60"/>
      <c r="O98" s="61"/>
      <c r="X98" s="61"/>
      <c r="AB98" s="10"/>
    </row>
    <row r="99" ht="15.75" customHeight="1">
      <c r="B99" s="5"/>
      <c r="F99" s="60"/>
      <c r="G99" s="60"/>
      <c r="H99" s="60"/>
      <c r="O99" s="61"/>
      <c r="X99" s="61"/>
      <c r="AB99" s="10"/>
    </row>
    <row r="100" ht="15.75" customHeight="1">
      <c r="B100" s="5"/>
      <c r="F100" s="60"/>
      <c r="G100" s="60"/>
      <c r="H100" s="60"/>
      <c r="O100" s="61"/>
      <c r="X100" s="61"/>
      <c r="AB100" s="10"/>
    </row>
    <row r="101" ht="15.75" customHeight="1">
      <c r="B101" s="5"/>
      <c r="F101" s="60"/>
      <c r="G101" s="60"/>
      <c r="H101" s="60"/>
      <c r="O101" s="61"/>
      <c r="X101" s="61"/>
      <c r="AB101" s="10"/>
    </row>
    <row r="102" ht="15.75" customHeight="1">
      <c r="B102" s="5"/>
      <c r="F102" s="60"/>
      <c r="G102" s="60"/>
      <c r="H102" s="60"/>
      <c r="O102" s="61"/>
      <c r="X102" s="61"/>
      <c r="AB102" s="10"/>
    </row>
    <row r="103" ht="15.75" customHeight="1">
      <c r="B103" s="5"/>
      <c r="F103" s="60"/>
      <c r="G103" s="60"/>
      <c r="H103" s="60"/>
      <c r="O103" s="61"/>
      <c r="X103" s="61"/>
      <c r="AB103" s="10"/>
    </row>
    <row r="104" ht="15.75" customHeight="1">
      <c r="B104" s="5"/>
      <c r="F104" s="60"/>
      <c r="G104" s="60"/>
      <c r="H104" s="60"/>
      <c r="O104" s="61"/>
      <c r="X104" s="61"/>
      <c r="AB104" s="10"/>
    </row>
    <row r="105" ht="15.75" customHeight="1">
      <c r="B105" s="5"/>
      <c r="F105" s="60"/>
      <c r="G105" s="60"/>
      <c r="H105" s="60"/>
      <c r="O105" s="61"/>
      <c r="X105" s="61"/>
      <c r="AB105" s="10"/>
    </row>
    <row r="106" ht="15.75" customHeight="1">
      <c r="B106" s="5"/>
      <c r="F106" s="60"/>
      <c r="G106" s="60"/>
      <c r="H106" s="60"/>
      <c r="O106" s="61"/>
      <c r="X106" s="61"/>
      <c r="AB106" s="10"/>
    </row>
    <row r="107" ht="15.75" customHeight="1">
      <c r="B107" s="5"/>
      <c r="F107" s="60"/>
      <c r="G107" s="60"/>
      <c r="H107" s="60"/>
      <c r="O107" s="61"/>
      <c r="X107" s="61"/>
      <c r="AB107" s="10"/>
    </row>
    <row r="108" ht="15.75" customHeight="1">
      <c r="B108" s="5"/>
      <c r="F108" s="60"/>
      <c r="G108" s="60"/>
      <c r="H108" s="60"/>
      <c r="O108" s="61"/>
      <c r="X108" s="61"/>
      <c r="AB108" s="10"/>
    </row>
    <row r="109" ht="15.75" customHeight="1">
      <c r="B109" s="5"/>
      <c r="F109" s="60"/>
      <c r="G109" s="60"/>
      <c r="H109" s="60"/>
      <c r="O109" s="61"/>
      <c r="X109" s="61"/>
      <c r="AB109" s="10"/>
    </row>
    <row r="110" ht="15.75" customHeight="1">
      <c r="B110" s="5"/>
      <c r="F110" s="60"/>
      <c r="G110" s="60"/>
      <c r="H110" s="60"/>
      <c r="O110" s="61"/>
      <c r="X110" s="61"/>
      <c r="AB110" s="10"/>
    </row>
    <row r="111" ht="15.75" customHeight="1">
      <c r="B111" s="5"/>
      <c r="F111" s="60"/>
      <c r="G111" s="60"/>
      <c r="H111" s="60"/>
      <c r="O111" s="61"/>
      <c r="X111" s="61"/>
      <c r="AB111" s="10"/>
    </row>
    <row r="112" ht="15.75" customHeight="1">
      <c r="B112" s="5"/>
      <c r="F112" s="60"/>
      <c r="G112" s="60"/>
      <c r="H112" s="60"/>
      <c r="O112" s="61"/>
      <c r="X112" s="61"/>
      <c r="AB112" s="10"/>
    </row>
    <row r="113" ht="15.75" customHeight="1">
      <c r="B113" s="5"/>
      <c r="F113" s="60"/>
      <c r="G113" s="60"/>
      <c r="H113" s="60"/>
      <c r="O113" s="61"/>
      <c r="X113" s="61"/>
      <c r="AB113" s="10"/>
    </row>
    <row r="114" ht="15.75" customHeight="1">
      <c r="B114" s="5"/>
      <c r="F114" s="60"/>
      <c r="G114" s="60"/>
      <c r="H114" s="60"/>
      <c r="O114" s="61"/>
      <c r="X114" s="61"/>
      <c r="AB114" s="10"/>
    </row>
    <row r="115" ht="15.75" customHeight="1">
      <c r="B115" s="5"/>
      <c r="F115" s="60"/>
      <c r="G115" s="60"/>
      <c r="H115" s="60"/>
      <c r="O115" s="61"/>
      <c r="X115" s="61"/>
      <c r="AB115" s="10"/>
    </row>
    <row r="116" ht="15.75" customHeight="1">
      <c r="B116" s="5"/>
      <c r="F116" s="60"/>
      <c r="G116" s="60"/>
      <c r="H116" s="60"/>
      <c r="O116" s="61"/>
      <c r="X116" s="61"/>
      <c r="AB116" s="10"/>
    </row>
    <row r="117" ht="15.75" customHeight="1">
      <c r="B117" s="5"/>
      <c r="F117" s="60"/>
      <c r="G117" s="60"/>
      <c r="H117" s="60"/>
      <c r="O117" s="61"/>
      <c r="X117" s="61"/>
      <c r="AB117" s="10"/>
    </row>
    <row r="118" ht="15.75" customHeight="1">
      <c r="B118" s="5"/>
      <c r="F118" s="60"/>
      <c r="G118" s="60"/>
      <c r="H118" s="60"/>
      <c r="O118" s="61"/>
      <c r="X118" s="61"/>
      <c r="AB118" s="10"/>
    </row>
    <row r="119" ht="15.75" customHeight="1">
      <c r="B119" s="5"/>
      <c r="F119" s="60"/>
      <c r="G119" s="60"/>
      <c r="H119" s="60"/>
      <c r="O119" s="61"/>
      <c r="X119" s="61"/>
      <c r="AB119" s="10"/>
    </row>
    <row r="120" ht="15.75" customHeight="1">
      <c r="B120" s="5"/>
      <c r="F120" s="60"/>
      <c r="G120" s="60"/>
      <c r="H120" s="60"/>
      <c r="O120" s="61"/>
      <c r="X120" s="61"/>
      <c r="AB120" s="10"/>
    </row>
    <row r="121" ht="15.75" customHeight="1">
      <c r="B121" s="5"/>
      <c r="F121" s="60"/>
      <c r="G121" s="60"/>
      <c r="H121" s="60"/>
      <c r="O121" s="61"/>
      <c r="X121" s="61"/>
      <c r="AB121" s="10"/>
    </row>
    <row r="122" ht="15.75" customHeight="1">
      <c r="B122" s="5"/>
      <c r="F122" s="60"/>
      <c r="G122" s="60"/>
      <c r="H122" s="60"/>
      <c r="O122" s="61"/>
      <c r="X122" s="61"/>
      <c r="AB122" s="10"/>
    </row>
    <row r="123" ht="15.75" customHeight="1">
      <c r="B123" s="5"/>
      <c r="F123" s="60"/>
      <c r="G123" s="60"/>
      <c r="H123" s="60"/>
      <c r="O123" s="61"/>
      <c r="X123" s="61"/>
      <c r="AB123" s="10"/>
    </row>
    <row r="124" ht="15.75" customHeight="1">
      <c r="B124" s="5"/>
      <c r="F124" s="60"/>
      <c r="G124" s="60"/>
      <c r="H124" s="60"/>
      <c r="O124" s="61"/>
      <c r="X124" s="61"/>
      <c r="AB124" s="10"/>
    </row>
    <row r="125" ht="15.75" customHeight="1">
      <c r="B125" s="5"/>
      <c r="F125" s="60"/>
      <c r="G125" s="60"/>
      <c r="H125" s="60"/>
      <c r="O125" s="61"/>
      <c r="X125" s="61"/>
      <c r="AB125" s="10"/>
    </row>
    <row r="126" ht="15.75" customHeight="1">
      <c r="B126" s="5"/>
      <c r="F126" s="60"/>
      <c r="G126" s="60"/>
      <c r="H126" s="60"/>
      <c r="O126" s="61"/>
      <c r="X126" s="61"/>
      <c r="AB126" s="10"/>
    </row>
    <row r="127" ht="15.75" customHeight="1">
      <c r="B127" s="5"/>
      <c r="F127" s="60"/>
      <c r="G127" s="60"/>
      <c r="H127" s="60"/>
      <c r="O127" s="61"/>
      <c r="X127" s="61"/>
      <c r="AB127" s="10"/>
    </row>
    <row r="128" ht="15.75" customHeight="1">
      <c r="B128" s="5"/>
      <c r="F128" s="60"/>
      <c r="G128" s="60"/>
      <c r="H128" s="60"/>
      <c r="O128" s="61"/>
      <c r="X128" s="61"/>
      <c r="AB128" s="10"/>
    </row>
    <row r="129" ht="15.75" customHeight="1">
      <c r="B129" s="5"/>
      <c r="F129" s="60"/>
      <c r="G129" s="60"/>
      <c r="H129" s="60"/>
      <c r="O129" s="61"/>
      <c r="X129" s="61"/>
      <c r="AB129" s="10"/>
    </row>
    <row r="130" ht="15.75" customHeight="1">
      <c r="B130" s="5"/>
      <c r="F130" s="60"/>
      <c r="G130" s="60"/>
      <c r="H130" s="60"/>
      <c r="O130" s="61"/>
      <c r="X130" s="61"/>
      <c r="AB130" s="10"/>
    </row>
    <row r="131" ht="15.75" customHeight="1">
      <c r="B131" s="5"/>
      <c r="F131" s="60"/>
      <c r="G131" s="60"/>
      <c r="H131" s="60"/>
      <c r="O131" s="61"/>
      <c r="X131" s="61"/>
      <c r="AB131" s="10"/>
    </row>
    <row r="132" ht="15.75" customHeight="1">
      <c r="B132" s="5"/>
      <c r="F132" s="60"/>
      <c r="G132" s="60"/>
      <c r="H132" s="60"/>
      <c r="O132" s="61"/>
      <c r="X132" s="61"/>
      <c r="AB132" s="10"/>
    </row>
    <row r="133" ht="15.75" customHeight="1">
      <c r="B133" s="5"/>
      <c r="F133" s="60"/>
      <c r="G133" s="60"/>
      <c r="H133" s="60"/>
      <c r="O133" s="61"/>
      <c r="X133" s="61"/>
      <c r="AB133" s="10"/>
    </row>
    <row r="134" ht="15.75" customHeight="1">
      <c r="B134" s="5"/>
      <c r="F134" s="60"/>
      <c r="G134" s="60"/>
      <c r="H134" s="60"/>
      <c r="O134" s="61"/>
      <c r="X134" s="61"/>
      <c r="AB134" s="10"/>
    </row>
    <row r="135" ht="15.75" customHeight="1">
      <c r="B135" s="5"/>
      <c r="F135" s="60"/>
      <c r="G135" s="60"/>
      <c r="H135" s="60"/>
      <c r="O135" s="61"/>
      <c r="X135" s="61"/>
      <c r="AB135" s="10"/>
    </row>
    <row r="136" ht="15.75" customHeight="1">
      <c r="B136" s="5"/>
      <c r="F136" s="60"/>
      <c r="G136" s="60"/>
      <c r="H136" s="60"/>
      <c r="O136" s="61"/>
      <c r="X136" s="61"/>
      <c r="AB136" s="10"/>
    </row>
    <row r="137" ht="15.75" customHeight="1">
      <c r="B137" s="5"/>
      <c r="F137" s="60"/>
      <c r="G137" s="60"/>
      <c r="H137" s="60"/>
      <c r="O137" s="61"/>
      <c r="X137" s="61"/>
      <c r="AB137" s="10"/>
    </row>
    <row r="138" ht="15.75" customHeight="1">
      <c r="B138" s="5"/>
      <c r="F138" s="60"/>
      <c r="G138" s="60"/>
      <c r="H138" s="60"/>
      <c r="O138" s="61"/>
      <c r="X138" s="61"/>
      <c r="AB138" s="10"/>
    </row>
    <row r="139" ht="15.75" customHeight="1">
      <c r="B139" s="5"/>
      <c r="F139" s="60"/>
      <c r="G139" s="60"/>
      <c r="H139" s="60"/>
      <c r="O139" s="61"/>
      <c r="X139" s="61"/>
      <c r="AB139" s="10"/>
    </row>
    <row r="140" ht="15.75" customHeight="1">
      <c r="B140" s="5"/>
      <c r="F140" s="60"/>
      <c r="G140" s="60"/>
      <c r="H140" s="60"/>
      <c r="O140" s="61"/>
      <c r="X140" s="61"/>
      <c r="AB140" s="10"/>
    </row>
    <row r="141" ht="15.75" customHeight="1">
      <c r="B141" s="5"/>
      <c r="F141" s="60"/>
      <c r="G141" s="60"/>
      <c r="H141" s="60"/>
      <c r="O141" s="61"/>
      <c r="X141" s="61"/>
      <c r="AB141" s="10"/>
    </row>
    <row r="142" ht="15.75" customHeight="1">
      <c r="B142" s="5"/>
      <c r="F142" s="60"/>
      <c r="G142" s="60"/>
      <c r="H142" s="60"/>
      <c r="O142" s="61"/>
      <c r="X142" s="61"/>
      <c r="AB142" s="10"/>
    </row>
    <row r="143" ht="15.75" customHeight="1">
      <c r="B143" s="5"/>
      <c r="F143" s="60"/>
      <c r="G143" s="60"/>
      <c r="H143" s="60"/>
      <c r="O143" s="61"/>
      <c r="X143" s="61"/>
      <c r="AB143" s="10"/>
    </row>
    <row r="144" ht="15.75" customHeight="1">
      <c r="B144" s="5"/>
      <c r="F144" s="60"/>
      <c r="G144" s="60"/>
      <c r="H144" s="60"/>
      <c r="O144" s="61"/>
      <c r="X144" s="61"/>
      <c r="AB144" s="10"/>
    </row>
    <row r="145" ht="15.75" customHeight="1">
      <c r="B145" s="5"/>
      <c r="F145" s="60"/>
      <c r="G145" s="60"/>
      <c r="H145" s="60"/>
      <c r="O145" s="61"/>
      <c r="X145" s="61"/>
      <c r="AB145" s="10"/>
    </row>
    <row r="146" ht="15.75" customHeight="1">
      <c r="B146" s="5"/>
      <c r="F146" s="60"/>
      <c r="G146" s="60"/>
      <c r="H146" s="60"/>
      <c r="O146" s="61"/>
      <c r="X146" s="61"/>
      <c r="AB146" s="10"/>
    </row>
    <row r="147" ht="15.75" customHeight="1">
      <c r="B147" s="5"/>
      <c r="F147" s="60"/>
      <c r="G147" s="60"/>
      <c r="H147" s="60"/>
      <c r="O147" s="61"/>
      <c r="X147" s="61"/>
      <c r="AB147" s="10"/>
    </row>
    <row r="148" ht="15.75" customHeight="1">
      <c r="B148" s="5"/>
      <c r="F148" s="60"/>
      <c r="G148" s="60"/>
      <c r="H148" s="60"/>
      <c r="O148" s="61"/>
      <c r="X148" s="61"/>
      <c r="AB148" s="10"/>
    </row>
    <row r="149" ht="15.75" customHeight="1">
      <c r="B149" s="5"/>
      <c r="F149" s="60"/>
      <c r="G149" s="60"/>
      <c r="H149" s="60"/>
      <c r="O149" s="61"/>
      <c r="X149" s="61"/>
      <c r="AB149" s="10"/>
    </row>
    <row r="150" ht="15.75" customHeight="1">
      <c r="B150" s="5"/>
      <c r="F150" s="60"/>
      <c r="G150" s="60"/>
      <c r="H150" s="60"/>
      <c r="O150" s="61"/>
      <c r="X150" s="61"/>
      <c r="AB150" s="10"/>
    </row>
    <row r="151" ht="15.75" customHeight="1">
      <c r="B151" s="5"/>
      <c r="F151" s="60"/>
      <c r="G151" s="60"/>
      <c r="H151" s="60"/>
      <c r="O151" s="61"/>
      <c r="X151" s="61"/>
      <c r="AB151" s="10"/>
    </row>
    <row r="152" ht="15.75" customHeight="1">
      <c r="B152" s="5"/>
      <c r="F152" s="60"/>
      <c r="G152" s="60"/>
      <c r="H152" s="60"/>
      <c r="O152" s="61"/>
      <c r="X152" s="61"/>
      <c r="AB152" s="10"/>
    </row>
    <row r="153" ht="15.75" customHeight="1">
      <c r="B153" s="5"/>
      <c r="F153" s="60"/>
      <c r="G153" s="60"/>
      <c r="H153" s="60"/>
      <c r="O153" s="61"/>
      <c r="X153" s="61"/>
      <c r="AB153" s="10"/>
    </row>
    <row r="154" ht="15.75" customHeight="1">
      <c r="B154" s="5"/>
      <c r="F154" s="60"/>
      <c r="G154" s="60"/>
      <c r="H154" s="60"/>
      <c r="O154" s="61"/>
      <c r="X154" s="61"/>
      <c r="AB154" s="10"/>
    </row>
    <row r="155" ht="15.75" customHeight="1">
      <c r="B155" s="5"/>
      <c r="F155" s="60"/>
      <c r="G155" s="60"/>
      <c r="H155" s="60"/>
      <c r="O155" s="61"/>
      <c r="X155" s="61"/>
      <c r="AB155" s="10"/>
    </row>
    <row r="156" ht="15.75" customHeight="1">
      <c r="B156" s="5"/>
      <c r="F156" s="60"/>
      <c r="G156" s="60"/>
      <c r="H156" s="60"/>
      <c r="O156" s="61"/>
      <c r="X156" s="61"/>
      <c r="AB156" s="10"/>
    </row>
    <row r="157" ht="15.75" customHeight="1">
      <c r="B157" s="5"/>
      <c r="F157" s="60"/>
      <c r="G157" s="60"/>
      <c r="H157" s="60"/>
      <c r="O157" s="61"/>
      <c r="X157" s="61"/>
      <c r="AB157" s="10"/>
    </row>
    <row r="158" ht="15.75" customHeight="1">
      <c r="B158" s="5"/>
      <c r="F158" s="60"/>
      <c r="G158" s="60"/>
      <c r="H158" s="60"/>
      <c r="O158" s="61"/>
      <c r="X158" s="61"/>
      <c r="AB158" s="10"/>
    </row>
    <row r="159" ht="15.75" customHeight="1">
      <c r="B159" s="5"/>
      <c r="F159" s="60"/>
      <c r="G159" s="60"/>
      <c r="H159" s="60"/>
      <c r="O159" s="61"/>
      <c r="X159" s="61"/>
      <c r="AB159" s="10"/>
    </row>
    <row r="160" ht="15.75" customHeight="1">
      <c r="B160" s="5"/>
      <c r="F160" s="60"/>
      <c r="G160" s="60"/>
      <c r="H160" s="60"/>
      <c r="O160" s="61"/>
      <c r="X160" s="61"/>
      <c r="AB160" s="10"/>
    </row>
    <row r="161" ht="15.75" customHeight="1">
      <c r="B161" s="5"/>
      <c r="F161" s="60"/>
      <c r="G161" s="60"/>
      <c r="H161" s="60"/>
      <c r="O161" s="61"/>
      <c r="X161" s="61"/>
      <c r="AB161" s="10"/>
    </row>
    <row r="162" ht="15.75" customHeight="1">
      <c r="B162" s="5"/>
      <c r="F162" s="60"/>
      <c r="G162" s="60"/>
      <c r="H162" s="60"/>
      <c r="O162" s="61"/>
      <c r="X162" s="61"/>
      <c r="AB162" s="10"/>
    </row>
    <row r="163" ht="15.75" customHeight="1">
      <c r="B163" s="5"/>
      <c r="F163" s="60"/>
      <c r="G163" s="60"/>
      <c r="H163" s="60"/>
      <c r="O163" s="61"/>
      <c r="X163" s="61"/>
      <c r="AB163" s="10"/>
    </row>
    <row r="164" ht="15.75" customHeight="1">
      <c r="B164" s="5"/>
      <c r="F164" s="60"/>
      <c r="G164" s="60"/>
      <c r="H164" s="60"/>
      <c r="O164" s="61"/>
      <c r="X164" s="61"/>
      <c r="AB164" s="10"/>
    </row>
    <row r="165" ht="15.75" customHeight="1">
      <c r="B165" s="5"/>
      <c r="F165" s="60"/>
      <c r="G165" s="60"/>
      <c r="H165" s="60"/>
      <c r="O165" s="61"/>
      <c r="X165" s="61"/>
      <c r="AB165" s="10"/>
    </row>
    <row r="166" ht="15.75" customHeight="1">
      <c r="B166" s="5"/>
      <c r="F166" s="60"/>
      <c r="G166" s="60"/>
      <c r="H166" s="60"/>
      <c r="O166" s="61"/>
      <c r="X166" s="61"/>
      <c r="AB166" s="10"/>
    </row>
    <row r="167" ht="15.75" customHeight="1">
      <c r="B167" s="5"/>
      <c r="F167" s="60"/>
      <c r="G167" s="60"/>
      <c r="H167" s="60"/>
      <c r="O167" s="61"/>
      <c r="X167" s="61"/>
      <c r="AB167" s="10"/>
    </row>
    <row r="168" ht="15.75" customHeight="1">
      <c r="B168" s="5"/>
      <c r="F168" s="60"/>
      <c r="G168" s="60"/>
      <c r="H168" s="60"/>
      <c r="O168" s="61"/>
      <c r="X168" s="61"/>
      <c r="AB168" s="10"/>
    </row>
    <row r="169" ht="15.75" customHeight="1">
      <c r="B169" s="5"/>
      <c r="F169" s="60"/>
      <c r="G169" s="60"/>
      <c r="H169" s="60"/>
      <c r="O169" s="61"/>
      <c r="X169" s="61"/>
      <c r="AB169" s="10"/>
    </row>
    <row r="170" ht="15.75" customHeight="1">
      <c r="B170" s="5"/>
      <c r="F170" s="60"/>
      <c r="G170" s="60"/>
      <c r="H170" s="60"/>
      <c r="O170" s="61"/>
      <c r="X170" s="61"/>
      <c r="AB170" s="10"/>
    </row>
    <row r="171" ht="15.75" customHeight="1">
      <c r="B171" s="5"/>
      <c r="F171" s="60"/>
      <c r="G171" s="60"/>
      <c r="H171" s="60"/>
      <c r="O171" s="61"/>
      <c r="X171" s="61"/>
      <c r="AB171" s="10"/>
    </row>
    <row r="172" ht="15.75" customHeight="1">
      <c r="B172" s="5"/>
      <c r="F172" s="60"/>
      <c r="G172" s="60"/>
      <c r="H172" s="60"/>
      <c r="O172" s="61"/>
      <c r="X172" s="61"/>
      <c r="AB172" s="10"/>
    </row>
    <row r="173" ht="15.75" customHeight="1">
      <c r="B173" s="5"/>
      <c r="F173" s="60"/>
      <c r="G173" s="60"/>
      <c r="H173" s="60"/>
      <c r="O173" s="61"/>
      <c r="X173" s="61"/>
      <c r="AB173" s="10"/>
    </row>
    <row r="174" ht="15.75" customHeight="1">
      <c r="B174" s="5"/>
      <c r="F174" s="60"/>
      <c r="G174" s="60"/>
      <c r="H174" s="60"/>
      <c r="O174" s="61"/>
      <c r="X174" s="61"/>
      <c r="AB174" s="10"/>
    </row>
    <row r="175" ht="15.75" customHeight="1">
      <c r="B175" s="5"/>
      <c r="F175" s="60"/>
      <c r="G175" s="60"/>
      <c r="H175" s="60"/>
      <c r="O175" s="61"/>
      <c r="X175" s="61"/>
      <c r="AB175" s="10"/>
    </row>
    <row r="176" ht="15.75" customHeight="1">
      <c r="B176" s="5"/>
      <c r="F176" s="60"/>
      <c r="G176" s="60"/>
      <c r="H176" s="60"/>
      <c r="O176" s="61"/>
      <c r="X176" s="61"/>
      <c r="AB176" s="10"/>
    </row>
    <row r="177" ht="15.75" customHeight="1">
      <c r="B177" s="5"/>
      <c r="F177" s="60"/>
      <c r="G177" s="60"/>
      <c r="H177" s="60"/>
      <c r="O177" s="61"/>
      <c r="X177" s="61"/>
      <c r="AB177" s="10"/>
    </row>
    <row r="178" ht="15.75" customHeight="1">
      <c r="B178" s="5"/>
      <c r="F178" s="60"/>
      <c r="G178" s="60"/>
      <c r="H178" s="60"/>
      <c r="O178" s="61"/>
      <c r="X178" s="61"/>
      <c r="AB178" s="10"/>
    </row>
    <row r="179" ht="15.75" customHeight="1">
      <c r="B179" s="5"/>
      <c r="F179" s="60"/>
      <c r="G179" s="60"/>
      <c r="H179" s="60"/>
      <c r="O179" s="61"/>
      <c r="X179" s="61"/>
      <c r="AB179" s="10"/>
    </row>
    <row r="180" ht="15.75" customHeight="1">
      <c r="B180" s="5"/>
      <c r="F180" s="60"/>
      <c r="G180" s="60"/>
      <c r="H180" s="60"/>
      <c r="O180" s="61"/>
      <c r="X180" s="61"/>
      <c r="AB180" s="10"/>
    </row>
    <row r="181" ht="15.75" customHeight="1">
      <c r="B181" s="5"/>
      <c r="F181" s="60"/>
      <c r="G181" s="60"/>
      <c r="H181" s="60"/>
      <c r="O181" s="61"/>
      <c r="X181" s="61"/>
      <c r="AB181" s="10"/>
    </row>
    <row r="182" ht="15.75" customHeight="1">
      <c r="B182" s="5"/>
      <c r="F182" s="60"/>
      <c r="G182" s="60"/>
      <c r="H182" s="60"/>
      <c r="O182" s="61"/>
      <c r="X182" s="61"/>
      <c r="AB182" s="10"/>
    </row>
    <row r="183" ht="15.75" customHeight="1">
      <c r="B183" s="5"/>
      <c r="F183" s="60"/>
      <c r="G183" s="60"/>
      <c r="H183" s="60"/>
      <c r="O183" s="61"/>
      <c r="X183" s="61"/>
      <c r="AB183" s="10"/>
    </row>
    <row r="184" ht="15.75" customHeight="1">
      <c r="B184" s="5"/>
      <c r="F184" s="60"/>
      <c r="G184" s="60"/>
      <c r="H184" s="60"/>
      <c r="O184" s="61"/>
      <c r="X184" s="61"/>
      <c r="AB184" s="10"/>
    </row>
    <row r="185" ht="15.75" customHeight="1">
      <c r="B185" s="5"/>
      <c r="F185" s="60"/>
      <c r="G185" s="60"/>
      <c r="H185" s="60"/>
      <c r="O185" s="61"/>
      <c r="X185" s="61"/>
      <c r="AB185" s="10"/>
    </row>
    <row r="186" ht="15.75" customHeight="1">
      <c r="B186" s="5"/>
      <c r="F186" s="60"/>
      <c r="G186" s="60"/>
      <c r="H186" s="60"/>
      <c r="O186" s="61"/>
      <c r="X186" s="61"/>
      <c r="AB186" s="10"/>
    </row>
    <row r="187" ht="15.75" customHeight="1">
      <c r="B187" s="5"/>
      <c r="F187" s="60"/>
      <c r="G187" s="60"/>
      <c r="H187" s="60"/>
      <c r="O187" s="61"/>
      <c r="X187" s="61"/>
      <c r="AB187" s="10"/>
    </row>
    <row r="188" ht="15.75" customHeight="1">
      <c r="B188" s="5"/>
      <c r="F188" s="60"/>
      <c r="G188" s="60"/>
      <c r="H188" s="60"/>
      <c r="O188" s="61"/>
      <c r="X188" s="61"/>
      <c r="AB188" s="10"/>
    </row>
    <row r="189" ht="15.75" customHeight="1">
      <c r="B189" s="5"/>
      <c r="F189" s="60"/>
      <c r="G189" s="60"/>
      <c r="H189" s="60"/>
      <c r="O189" s="61"/>
      <c r="X189" s="61"/>
      <c r="AB189" s="10"/>
    </row>
    <row r="190" ht="15.75" customHeight="1">
      <c r="B190" s="5"/>
      <c r="F190" s="60"/>
      <c r="G190" s="60"/>
      <c r="H190" s="60"/>
      <c r="O190" s="61"/>
      <c r="X190" s="61"/>
      <c r="AB190" s="10"/>
    </row>
    <row r="191" ht="15.75" customHeight="1">
      <c r="B191" s="5"/>
      <c r="F191" s="60"/>
      <c r="G191" s="60"/>
      <c r="H191" s="60"/>
      <c r="O191" s="61"/>
      <c r="X191" s="61"/>
      <c r="AB191" s="10"/>
    </row>
    <row r="192" ht="15.75" customHeight="1">
      <c r="B192" s="5"/>
      <c r="F192" s="60"/>
      <c r="G192" s="60"/>
      <c r="H192" s="60"/>
      <c r="O192" s="61"/>
      <c r="X192" s="61"/>
      <c r="AB192" s="10"/>
    </row>
    <row r="193" ht="15.75" customHeight="1">
      <c r="B193" s="5"/>
      <c r="F193" s="60"/>
      <c r="G193" s="60"/>
      <c r="H193" s="60"/>
      <c r="O193" s="61"/>
      <c r="X193" s="61"/>
      <c r="AB193" s="10"/>
    </row>
    <row r="194" ht="15.75" customHeight="1">
      <c r="B194" s="5"/>
      <c r="F194" s="60"/>
      <c r="G194" s="60"/>
      <c r="H194" s="60"/>
      <c r="O194" s="61"/>
      <c r="X194" s="61"/>
      <c r="AB194" s="10"/>
    </row>
    <row r="195" ht="15.75" customHeight="1">
      <c r="B195" s="5"/>
      <c r="F195" s="60"/>
      <c r="G195" s="60"/>
      <c r="H195" s="60"/>
      <c r="O195" s="61"/>
      <c r="X195" s="61"/>
      <c r="AB195" s="10"/>
    </row>
    <row r="196" ht="15.75" customHeight="1">
      <c r="B196" s="5"/>
      <c r="F196" s="60"/>
      <c r="G196" s="60"/>
      <c r="H196" s="60"/>
      <c r="O196" s="61"/>
      <c r="X196" s="61"/>
      <c r="AB196" s="10"/>
    </row>
    <row r="197" ht="15.75" customHeight="1">
      <c r="B197" s="5"/>
      <c r="F197" s="60"/>
      <c r="G197" s="60"/>
      <c r="H197" s="60"/>
      <c r="O197" s="61"/>
      <c r="X197" s="61"/>
      <c r="AB197" s="10"/>
    </row>
    <row r="198" ht="15.75" customHeight="1">
      <c r="B198" s="5"/>
      <c r="F198" s="60"/>
      <c r="G198" s="60"/>
      <c r="H198" s="60"/>
      <c r="O198" s="61"/>
      <c r="X198" s="61"/>
      <c r="AB198" s="10"/>
    </row>
    <row r="199" ht="15.75" customHeight="1">
      <c r="B199" s="5"/>
      <c r="F199" s="60"/>
      <c r="G199" s="60"/>
      <c r="H199" s="60"/>
      <c r="O199" s="61"/>
      <c r="X199" s="61"/>
      <c r="AB199" s="10"/>
    </row>
    <row r="200" ht="15.75" customHeight="1">
      <c r="B200" s="5"/>
      <c r="F200" s="60"/>
      <c r="G200" s="60"/>
      <c r="H200" s="60"/>
      <c r="O200" s="61"/>
      <c r="X200" s="61"/>
      <c r="AB200" s="10"/>
    </row>
    <row r="201" ht="15.75" customHeight="1">
      <c r="B201" s="5"/>
      <c r="F201" s="60"/>
      <c r="G201" s="60"/>
      <c r="H201" s="60"/>
      <c r="O201" s="61"/>
      <c r="X201" s="61"/>
      <c r="AB201" s="10"/>
    </row>
    <row r="202" ht="15.75" customHeight="1">
      <c r="B202" s="5"/>
      <c r="F202" s="60"/>
      <c r="G202" s="60"/>
      <c r="H202" s="60"/>
      <c r="O202" s="61"/>
      <c r="X202" s="61"/>
      <c r="AB202" s="10"/>
    </row>
    <row r="203" ht="15.75" customHeight="1">
      <c r="B203" s="5"/>
      <c r="F203" s="60"/>
      <c r="G203" s="60"/>
      <c r="H203" s="60"/>
      <c r="O203" s="61"/>
      <c r="X203" s="61"/>
      <c r="AB203" s="10"/>
    </row>
    <row r="204" ht="15.75" customHeight="1">
      <c r="B204" s="5"/>
      <c r="F204" s="60"/>
      <c r="G204" s="60"/>
      <c r="H204" s="60"/>
      <c r="O204" s="61"/>
      <c r="X204" s="61"/>
      <c r="AB204" s="10"/>
    </row>
    <row r="205" ht="15.75" customHeight="1">
      <c r="B205" s="5"/>
      <c r="F205" s="60"/>
      <c r="G205" s="60"/>
      <c r="H205" s="60"/>
      <c r="O205" s="61"/>
      <c r="X205" s="61"/>
      <c r="AB205" s="10"/>
    </row>
    <row r="206" ht="15.75" customHeight="1">
      <c r="B206" s="5"/>
      <c r="F206" s="60"/>
      <c r="G206" s="60"/>
      <c r="H206" s="60"/>
      <c r="O206" s="61"/>
      <c r="X206" s="61"/>
      <c r="AB206" s="10"/>
    </row>
    <row r="207" ht="15.75" customHeight="1">
      <c r="B207" s="5"/>
      <c r="F207" s="60"/>
      <c r="G207" s="60"/>
      <c r="H207" s="60"/>
      <c r="O207" s="61"/>
      <c r="X207" s="61"/>
      <c r="AB207" s="10"/>
    </row>
    <row r="208" ht="15.75" customHeight="1">
      <c r="B208" s="5"/>
      <c r="F208" s="60"/>
      <c r="G208" s="60"/>
      <c r="H208" s="60"/>
      <c r="O208" s="61"/>
      <c r="X208" s="61"/>
      <c r="AB208" s="10"/>
    </row>
    <row r="209" ht="15.75" customHeight="1">
      <c r="B209" s="5"/>
      <c r="F209" s="60"/>
      <c r="G209" s="60"/>
      <c r="H209" s="60"/>
      <c r="O209" s="61"/>
      <c r="X209" s="61"/>
      <c r="AB209" s="10"/>
    </row>
    <row r="210" ht="15.75" customHeight="1">
      <c r="B210" s="5"/>
      <c r="F210" s="60"/>
      <c r="G210" s="60"/>
      <c r="H210" s="60"/>
      <c r="O210" s="61"/>
      <c r="X210" s="61"/>
      <c r="AB210" s="10"/>
    </row>
    <row r="211" ht="15.75" customHeight="1">
      <c r="B211" s="5"/>
      <c r="F211" s="60"/>
      <c r="G211" s="60"/>
      <c r="H211" s="60"/>
      <c r="O211" s="61"/>
      <c r="X211" s="61"/>
      <c r="AB211" s="10"/>
    </row>
    <row r="212" ht="15.75" customHeight="1">
      <c r="B212" s="5"/>
      <c r="F212" s="60"/>
      <c r="G212" s="60"/>
      <c r="H212" s="60"/>
      <c r="O212" s="61"/>
      <c r="X212" s="61"/>
      <c r="AB212" s="10"/>
    </row>
    <row r="213" ht="15.75" customHeight="1">
      <c r="B213" s="5"/>
      <c r="F213" s="60"/>
      <c r="G213" s="60"/>
      <c r="H213" s="60"/>
      <c r="O213" s="61"/>
      <c r="X213" s="61"/>
      <c r="AB213" s="10"/>
    </row>
    <row r="214" ht="15.75" customHeight="1">
      <c r="B214" s="5"/>
      <c r="F214" s="60"/>
      <c r="G214" s="60"/>
      <c r="H214" s="60"/>
      <c r="O214" s="61"/>
      <c r="X214" s="61"/>
      <c r="AB214" s="10"/>
    </row>
    <row r="215" ht="15.75" customHeight="1">
      <c r="B215" s="5"/>
      <c r="F215" s="60"/>
      <c r="G215" s="60"/>
      <c r="H215" s="60"/>
      <c r="O215" s="61"/>
      <c r="X215" s="61"/>
      <c r="AB215" s="10"/>
    </row>
    <row r="216" ht="15.75" customHeight="1">
      <c r="B216" s="5"/>
      <c r="F216" s="60"/>
      <c r="G216" s="60"/>
      <c r="H216" s="60"/>
      <c r="O216" s="61"/>
      <c r="X216" s="61"/>
      <c r="AB216" s="10"/>
    </row>
    <row r="217" ht="15.75" customHeight="1">
      <c r="B217" s="5"/>
      <c r="F217" s="60"/>
      <c r="G217" s="60"/>
      <c r="H217" s="60"/>
      <c r="O217" s="61"/>
      <c r="X217" s="61"/>
      <c r="AB217" s="10"/>
    </row>
    <row r="218" ht="15.75" customHeight="1">
      <c r="B218" s="5"/>
      <c r="F218" s="60"/>
      <c r="G218" s="60"/>
      <c r="H218" s="60"/>
      <c r="O218" s="61"/>
      <c r="X218" s="61"/>
      <c r="AB218" s="10"/>
    </row>
    <row r="219" ht="15.75" customHeight="1">
      <c r="B219" s="5"/>
      <c r="F219" s="60"/>
      <c r="G219" s="60"/>
      <c r="H219" s="60"/>
      <c r="O219" s="61"/>
      <c r="X219" s="61"/>
      <c r="AB219" s="10"/>
    </row>
    <row r="220" ht="15.75" customHeight="1">
      <c r="B220" s="5"/>
      <c r="F220" s="60"/>
      <c r="G220" s="60"/>
      <c r="H220" s="60"/>
      <c r="O220" s="61"/>
      <c r="X220" s="61"/>
      <c r="AB220" s="10"/>
    </row>
    <row r="221" ht="15.75" customHeight="1">
      <c r="B221" s="5"/>
      <c r="F221" s="60"/>
      <c r="G221" s="60"/>
      <c r="H221" s="60"/>
      <c r="O221" s="61"/>
      <c r="X221" s="61"/>
      <c r="AB221" s="10"/>
    </row>
    <row r="222" ht="15.75" customHeight="1">
      <c r="B222" s="5"/>
      <c r="F222" s="60"/>
      <c r="G222" s="60"/>
      <c r="H222" s="60"/>
      <c r="O222" s="61"/>
      <c r="X222" s="61"/>
      <c r="AB222" s="10"/>
    </row>
    <row r="223" ht="15.75" customHeight="1">
      <c r="B223" s="5"/>
      <c r="F223" s="60"/>
      <c r="G223" s="60"/>
      <c r="H223" s="60"/>
      <c r="O223" s="61"/>
      <c r="X223" s="61"/>
      <c r="AB223" s="10"/>
    </row>
    <row r="224" ht="15.75" customHeight="1">
      <c r="B224" s="5"/>
      <c r="F224" s="60"/>
      <c r="G224" s="60"/>
      <c r="H224" s="60"/>
      <c r="O224" s="61"/>
      <c r="X224" s="61"/>
      <c r="AB224" s="10"/>
    </row>
    <row r="225" ht="15.75" customHeight="1">
      <c r="B225" s="5"/>
      <c r="F225" s="60"/>
      <c r="G225" s="60"/>
      <c r="H225" s="60"/>
      <c r="O225" s="61"/>
      <c r="X225" s="61"/>
      <c r="AB225" s="10"/>
    </row>
    <row r="226" ht="15.75" customHeight="1">
      <c r="B226" s="5"/>
      <c r="F226" s="60"/>
      <c r="G226" s="60"/>
      <c r="H226" s="60"/>
      <c r="O226" s="61"/>
      <c r="X226" s="61"/>
      <c r="AB226" s="10"/>
    </row>
    <row r="227" ht="15.75" customHeight="1">
      <c r="B227" s="5"/>
      <c r="F227" s="60"/>
      <c r="G227" s="60"/>
      <c r="H227" s="60"/>
      <c r="O227" s="61"/>
      <c r="X227" s="61"/>
      <c r="AB227" s="10"/>
    </row>
    <row r="228" ht="15.75" customHeight="1">
      <c r="B228" s="5"/>
      <c r="F228" s="60"/>
      <c r="G228" s="60"/>
      <c r="H228" s="60"/>
      <c r="O228" s="61"/>
      <c r="X228" s="61"/>
      <c r="AB228" s="10"/>
    </row>
    <row r="229" ht="15.75" customHeight="1">
      <c r="B229" s="5"/>
      <c r="F229" s="60"/>
      <c r="G229" s="60"/>
      <c r="H229" s="60"/>
      <c r="O229" s="61"/>
      <c r="X229" s="61"/>
      <c r="AB229" s="10"/>
    </row>
    <row r="230" ht="15.75" customHeight="1">
      <c r="B230" s="5"/>
      <c r="F230" s="60"/>
      <c r="G230" s="60"/>
      <c r="H230" s="60"/>
      <c r="O230" s="61"/>
      <c r="X230" s="61"/>
      <c r="AB230" s="10"/>
    </row>
    <row r="231" ht="15.75" customHeight="1">
      <c r="B231" s="5"/>
      <c r="F231" s="60"/>
      <c r="G231" s="60"/>
      <c r="H231" s="60"/>
      <c r="O231" s="61"/>
      <c r="X231" s="61"/>
      <c r="AB231" s="10"/>
    </row>
    <row r="232" ht="15.75" customHeight="1">
      <c r="B232" s="5"/>
      <c r="F232" s="60"/>
      <c r="G232" s="60"/>
      <c r="H232" s="60"/>
      <c r="O232" s="61"/>
      <c r="X232" s="61"/>
      <c r="AB232" s="10"/>
    </row>
    <row r="233" ht="15.75" customHeight="1">
      <c r="B233" s="5"/>
      <c r="F233" s="60"/>
      <c r="G233" s="60"/>
      <c r="H233" s="60"/>
      <c r="O233" s="61"/>
      <c r="X233" s="61"/>
      <c r="AB233" s="10"/>
    </row>
    <row r="234" ht="15.75" customHeight="1">
      <c r="B234" s="5"/>
      <c r="F234" s="60"/>
      <c r="G234" s="60"/>
      <c r="H234" s="60"/>
      <c r="O234" s="61"/>
      <c r="X234" s="61"/>
      <c r="AB234" s="10"/>
    </row>
    <row r="235" ht="15.75" customHeight="1">
      <c r="B235" s="5"/>
      <c r="F235" s="60"/>
      <c r="G235" s="60"/>
      <c r="H235" s="60"/>
      <c r="O235" s="61"/>
      <c r="X235" s="61"/>
      <c r="AB235" s="10"/>
    </row>
    <row r="236" ht="15.75" customHeight="1">
      <c r="B236" s="5"/>
      <c r="F236" s="60"/>
      <c r="G236" s="60"/>
      <c r="H236" s="60"/>
      <c r="O236" s="61"/>
      <c r="X236" s="61"/>
      <c r="AB236" s="10"/>
    </row>
    <row r="237" ht="15.75" customHeight="1">
      <c r="B237" s="5"/>
      <c r="F237" s="60"/>
      <c r="G237" s="60"/>
      <c r="H237" s="60"/>
      <c r="O237" s="61"/>
      <c r="X237" s="61"/>
      <c r="AB237" s="10"/>
    </row>
    <row r="238" ht="15.75" customHeight="1">
      <c r="B238" s="5"/>
      <c r="F238" s="60"/>
      <c r="G238" s="60"/>
      <c r="H238" s="60"/>
      <c r="O238" s="61"/>
      <c r="X238" s="61"/>
      <c r="AB238" s="10"/>
    </row>
    <row r="239" ht="15.75" customHeight="1">
      <c r="B239" s="5"/>
      <c r="F239" s="60"/>
      <c r="G239" s="60"/>
      <c r="H239" s="60"/>
      <c r="O239" s="61"/>
      <c r="X239" s="61"/>
      <c r="AB239" s="10"/>
    </row>
    <row r="240" ht="15.75" customHeight="1">
      <c r="B240" s="5"/>
      <c r="F240" s="60"/>
      <c r="G240" s="60"/>
      <c r="H240" s="60"/>
      <c r="O240" s="61"/>
      <c r="X240" s="61"/>
      <c r="AB240" s="10"/>
    </row>
    <row r="241" ht="15.75" customHeight="1">
      <c r="B241" s="5"/>
      <c r="F241" s="60"/>
      <c r="G241" s="60"/>
      <c r="H241" s="60"/>
      <c r="O241" s="61"/>
      <c r="X241" s="61"/>
      <c r="AB241" s="10"/>
    </row>
    <row r="242" ht="15.75" customHeight="1">
      <c r="B242" s="5"/>
      <c r="F242" s="60"/>
      <c r="G242" s="60"/>
      <c r="H242" s="60"/>
      <c r="O242" s="61"/>
      <c r="X242" s="61"/>
      <c r="AB242" s="10"/>
    </row>
    <row r="243" ht="15.75" customHeight="1">
      <c r="B243" s="5"/>
      <c r="F243" s="60"/>
      <c r="G243" s="60"/>
      <c r="H243" s="60"/>
      <c r="O243" s="61"/>
      <c r="X243" s="61"/>
      <c r="AB243" s="10"/>
    </row>
    <row r="244" ht="15.75" customHeight="1">
      <c r="B244" s="5"/>
      <c r="F244" s="60"/>
      <c r="G244" s="60"/>
      <c r="H244" s="60"/>
      <c r="O244" s="61"/>
      <c r="X244" s="61"/>
      <c r="AB244" s="10"/>
    </row>
    <row r="245" ht="15.75" customHeight="1">
      <c r="B245" s="5"/>
      <c r="F245" s="60"/>
      <c r="G245" s="60"/>
      <c r="H245" s="60"/>
      <c r="O245" s="61"/>
      <c r="X245" s="61"/>
      <c r="AB245" s="10"/>
    </row>
    <row r="246" ht="15.75" customHeight="1">
      <c r="B246" s="5"/>
      <c r="F246" s="60"/>
      <c r="G246" s="60"/>
      <c r="H246" s="60"/>
      <c r="O246" s="61"/>
      <c r="X246" s="61"/>
      <c r="AB246" s="10"/>
    </row>
    <row r="247" ht="15.75" customHeight="1">
      <c r="B247" s="5"/>
      <c r="F247" s="60"/>
      <c r="G247" s="60"/>
      <c r="H247" s="60"/>
      <c r="O247" s="61"/>
      <c r="X247" s="61"/>
      <c r="AB247" s="10"/>
    </row>
    <row r="248" ht="15.75" customHeight="1">
      <c r="B248" s="5"/>
      <c r="F248" s="60"/>
      <c r="G248" s="60"/>
      <c r="H248" s="60"/>
      <c r="O248" s="61"/>
      <c r="X248" s="61"/>
      <c r="AB248" s="10"/>
    </row>
    <row r="249" ht="15.75" customHeight="1">
      <c r="B249" s="5"/>
      <c r="F249" s="60"/>
      <c r="G249" s="60"/>
      <c r="H249" s="60"/>
      <c r="O249" s="61"/>
      <c r="X249" s="61"/>
      <c r="AB249" s="10"/>
    </row>
    <row r="250" ht="15.75" customHeight="1">
      <c r="B250" s="5"/>
      <c r="F250" s="60"/>
      <c r="G250" s="60"/>
      <c r="H250" s="60"/>
      <c r="O250" s="61"/>
      <c r="X250" s="61"/>
      <c r="AB250" s="10"/>
    </row>
    <row r="251" ht="15.75" customHeight="1">
      <c r="B251" s="5"/>
      <c r="F251" s="60"/>
      <c r="G251" s="60"/>
      <c r="H251" s="60"/>
      <c r="O251" s="61"/>
      <c r="X251" s="61"/>
      <c r="AB251" s="10"/>
    </row>
    <row r="252" ht="15.75" customHeight="1">
      <c r="B252" s="5"/>
      <c r="F252" s="60"/>
      <c r="G252" s="60"/>
      <c r="H252" s="60"/>
      <c r="O252" s="61"/>
      <c r="X252" s="61"/>
      <c r="AB252" s="10"/>
    </row>
    <row r="253" ht="15.75" customHeight="1">
      <c r="B253" s="5"/>
      <c r="F253" s="60"/>
      <c r="G253" s="60"/>
      <c r="H253" s="60"/>
      <c r="O253" s="61"/>
      <c r="X253" s="61"/>
      <c r="AB253" s="10"/>
    </row>
    <row r="254" ht="15.75" customHeight="1">
      <c r="B254" s="5"/>
      <c r="F254" s="60"/>
      <c r="G254" s="60"/>
      <c r="H254" s="60"/>
      <c r="O254" s="61"/>
      <c r="X254" s="61"/>
      <c r="AB254" s="10"/>
    </row>
    <row r="255" ht="15.75" customHeight="1">
      <c r="B255" s="5"/>
      <c r="F255" s="60"/>
      <c r="G255" s="60"/>
      <c r="H255" s="60"/>
      <c r="O255" s="61"/>
      <c r="X255" s="61"/>
      <c r="AB255" s="10"/>
    </row>
    <row r="256" ht="15.75" customHeight="1">
      <c r="B256" s="5"/>
      <c r="F256" s="60"/>
      <c r="G256" s="60"/>
      <c r="H256" s="60"/>
      <c r="O256" s="61"/>
      <c r="X256" s="61"/>
      <c r="AB256" s="10"/>
    </row>
    <row r="257" ht="15.75" customHeight="1">
      <c r="B257" s="5"/>
      <c r="F257" s="60"/>
      <c r="G257" s="60"/>
      <c r="H257" s="60"/>
      <c r="O257" s="61"/>
      <c r="X257" s="61"/>
      <c r="AB257" s="10"/>
    </row>
    <row r="258" ht="15.75" customHeight="1">
      <c r="B258" s="5"/>
      <c r="F258" s="60"/>
      <c r="G258" s="60"/>
      <c r="H258" s="60"/>
      <c r="O258" s="61"/>
      <c r="X258" s="61"/>
      <c r="AB258" s="10"/>
    </row>
    <row r="259" ht="15.75" customHeight="1">
      <c r="B259" s="5"/>
      <c r="F259" s="60"/>
      <c r="G259" s="60"/>
      <c r="H259" s="60"/>
      <c r="O259" s="61"/>
      <c r="X259" s="61"/>
      <c r="AB259" s="10"/>
    </row>
    <row r="260" ht="15.75" customHeight="1">
      <c r="B260" s="5"/>
      <c r="F260" s="60"/>
      <c r="G260" s="60"/>
      <c r="H260" s="60"/>
      <c r="O260" s="61"/>
      <c r="X260" s="61"/>
      <c r="AB260" s="10"/>
    </row>
    <row r="261" ht="15.75" customHeight="1">
      <c r="B261" s="5"/>
      <c r="F261" s="60"/>
      <c r="G261" s="60"/>
      <c r="H261" s="60"/>
      <c r="O261" s="61"/>
      <c r="X261" s="61"/>
      <c r="AB261" s="10"/>
    </row>
    <row r="262" ht="15.75" customHeight="1">
      <c r="B262" s="5"/>
      <c r="F262" s="60"/>
      <c r="G262" s="60"/>
      <c r="H262" s="60"/>
      <c r="O262" s="61"/>
      <c r="X262" s="61"/>
      <c r="AB262" s="10"/>
    </row>
    <row r="263" ht="15.75" customHeight="1">
      <c r="B263" s="5"/>
      <c r="F263" s="60"/>
      <c r="G263" s="60"/>
      <c r="H263" s="60"/>
      <c r="O263" s="61"/>
      <c r="X263" s="61"/>
      <c r="AB263" s="10"/>
    </row>
    <row r="264" ht="15.75" customHeight="1">
      <c r="B264" s="5"/>
      <c r="F264" s="60"/>
      <c r="G264" s="60"/>
      <c r="H264" s="60"/>
      <c r="O264" s="61"/>
      <c r="X264" s="61"/>
      <c r="AB264" s="10"/>
    </row>
    <row r="265" ht="15.75" customHeight="1">
      <c r="B265" s="5"/>
      <c r="F265" s="60"/>
      <c r="G265" s="60"/>
      <c r="H265" s="60"/>
      <c r="O265" s="61"/>
      <c r="X265" s="61"/>
      <c r="AB265" s="10"/>
    </row>
    <row r="266" ht="15.75" customHeight="1">
      <c r="B266" s="5"/>
      <c r="F266" s="60"/>
      <c r="G266" s="60"/>
      <c r="H266" s="60"/>
      <c r="O266" s="61"/>
      <c r="X266" s="61"/>
      <c r="AB266" s="10"/>
    </row>
    <row r="267" ht="15.75" customHeight="1">
      <c r="B267" s="5"/>
      <c r="F267" s="60"/>
      <c r="G267" s="60"/>
      <c r="H267" s="60"/>
      <c r="O267" s="61"/>
      <c r="X267" s="61"/>
      <c r="AB267" s="10"/>
    </row>
    <row r="268" ht="15.75" customHeight="1">
      <c r="B268" s="5"/>
      <c r="F268" s="60"/>
      <c r="G268" s="60"/>
      <c r="H268" s="60"/>
      <c r="O268" s="61"/>
      <c r="X268" s="61"/>
      <c r="AB268" s="10"/>
    </row>
    <row r="269" ht="15.75" customHeight="1">
      <c r="B269" s="5"/>
      <c r="F269" s="60"/>
      <c r="G269" s="60"/>
      <c r="H269" s="60"/>
      <c r="O269" s="61"/>
      <c r="X269" s="61"/>
      <c r="AB269" s="10"/>
    </row>
    <row r="270" ht="15.75" customHeight="1">
      <c r="B270" s="5"/>
      <c r="F270" s="60"/>
      <c r="G270" s="60"/>
      <c r="H270" s="60"/>
      <c r="O270" s="61"/>
      <c r="X270" s="61"/>
      <c r="AB270" s="10"/>
    </row>
    <row r="271" ht="15.75" customHeight="1">
      <c r="B271" s="5"/>
      <c r="F271" s="60"/>
      <c r="G271" s="60"/>
      <c r="H271" s="60"/>
      <c r="O271" s="61"/>
      <c r="X271" s="61"/>
      <c r="AB271" s="10"/>
    </row>
    <row r="272" ht="15.75" customHeight="1">
      <c r="B272" s="5"/>
      <c r="F272" s="60"/>
      <c r="G272" s="60"/>
      <c r="H272" s="60"/>
      <c r="O272" s="61"/>
      <c r="X272" s="61"/>
      <c r="AB272" s="10"/>
    </row>
    <row r="273" ht="15.75" customHeight="1">
      <c r="B273" s="5"/>
      <c r="F273" s="60"/>
      <c r="G273" s="60"/>
      <c r="H273" s="60"/>
      <c r="O273" s="61"/>
      <c r="X273" s="61"/>
      <c r="AB273" s="10"/>
    </row>
    <row r="274" ht="15.75" customHeight="1">
      <c r="B274" s="5"/>
      <c r="F274" s="60"/>
      <c r="G274" s="60"/>
      <c r="H274" s="60"/>
      <c r="O274" s="61"/>
      <c r="X274" s="61"/>
      <c r="AB274" s="10"/>
    </row>
    <row r="275" ht="15.75" customHeight="1">
      <c r="B275" s="5"/>
      <c r="F275" s="60"/>
      <c r="G275" s="60"/>
      <c r="H275" s="60"/>
      <c r="O275" s="61"/>
      <c r="X275" s="61"/>
      <c r="AB275" s="10"/>
    </row>
    <row r="276" ht="15.75" customHeight="1">
      <c r="B276" s="5"/>
      <c r="F276" s="60"/>
      <c r="G276" s="60"/>
      <c r="H276" s="60"/>
      <c r="O276" s="61"/>
      <c r="X276" s="61"/>
      <c r="AB276" s="10"/>
    </row>
    <row r="277" ht="15.75" customHeight="1">
      <c r="B277" s="5"/>
      <c r="F277" s="60"/>
      <c r="G277" s="60"/>
      <c r="H277" s="60"/>
      <c r="O277" s="61"/>
      <c r="X277" s="61"/>
      <c r="AB277" s="10"/>
    </row>
    <row r="278" ht="15.75" customHeight="1">
      <c r="B278" s="5"/>
      <c r="F278" s="60"/>
      <c r="G278" s="60"/>
      <c r="H278" s="60"/>
      <c r="O278" s="61"/>
      <c r="X278" s="61"/>
      <c r="AB278" s="10"/>
    </row>
    <row r="279" ht="15.75" customHeight="1">
      <c r="B279" s="5"/>
      <c r="F279" s="60"/>
      <c r="G279" s="60"/>
      <c r="H279" s="60"/>
      <c r="O279" s="61"/>
      <c r="X279" s="61"/>
      <c r="AB279" s="10"/>
    </row>
    <row r="280" ht="15.75" customHeight="1">
      <c r="B280" s="5"/>
      <c r="F280" s="60"/>
      <c r="G280" s="60"/>
      <c r="H280" s="60"/>
      <c r="O280" s="61"/>
      <c r="X280" s="61"/>
      <c r="AB280" s="10"/>
    </row>
    <row r="281" ht="15.75" customHeight="1">
      <c r="B281" s="5"/>
      <c r="F281" s="60"/>
      <c r="G281" s="60"/>
      <c r="H281" s="60"/>
      <c r="O281" s="61"/>
      <c r="X281" s="61"/>
      <c r="AB281" s="10"/>
    </row>
    <row r="282" ht="15.75" customHeight="1">
      <c r="B282" s="5"/>
      <c r="F282" s="60"/>
      <c r="G282" s="60"/>
      <c r="H282" s="60"/>
      <c r="O282" s="61"/>
      <c r="X282" s="61"/>
      <c r="AB282" s="10"/>
    </row>
    <row r="283" ht="15.75" customHeight="1">
      <c r="B283" s="5"/>
      <c r="F283" s="60"/>
      <c r="G283" s="60"/>
      <c r="H283" s="60"/>
      <c r="O283" s="61"/>
      <c r="X283" s="61"/>
      <c r="AB283" s="10"/>
    </row>
    <row r="284" ht="15.75" customHeight="1">
      <c r="B284" s="5"/>
      <c r="F284" s="60"/>
      <c r="G284" s="60"/>
      <c r="H284" s="60"/>
      <c r="O284" s="61"/>
      <c r="X284" s="61"/>
      <c r="AB284" s="10"/>
    </row>
    <row r="285" ht="15.75" customHeight="1">
      <c r="B285" s="5"/>
      <c r="F285" s="60"/>
      <c r="G285" s="60"/>
      <c r="H285" s="60"/>
      <c r="O285" s="61"/>
      <c r="X285" s="61"/>
      <c r="AB285" s="10"/>
    </row>
    <row r="286" ht="15.75" customHeight="1">
      <c r="B286" s="5"/>
      <c r="F286" s="60"/>
      <c r="G286" s="60"/>
      <c r="H286" s="60"/>
      <c r="O286" s="61"/>
      <c r="X286" s="61"/>
      <c r="AB286" s="10"/>
    </row>
    <row r="287" ht="15.75" customHeight="1">
      <c r="B287" s="5"/>
      <c r="F287" s="60"/>
      <c r="G287" s="60"/>
      <c r="H287" s="60"/>
      <c r="O287" s="61"/>
      <c r="X287" s="61"/>
      <c r="AB287" s="10"/>
    </row>
    <row r="288" ht="15.75" customHeight="1">
      <c r="B288" s="5"/>
      <c r="F288" s="60"/>
      <c r="G288" s="60"/>
      <c r="H288" s="60"/>
      <c r="O288" s="61"/>
      <c r="X288" s="61"/>
      <c r="AB288" s="10"/>
    </row>
    <row r="289" ht="15.75" customHeight="1">
      <c r="B289" s="5"/>
      <c r="F289" s="60"/>
      <c r="G289" s="60"/>
      <c r="H289" s="60"/>
      <c r="O289" s="61"/>
      <c r="X289" s="61"/>
      <c r="AB289" s="10"/>
    </row>
    <row r="290" ht="15.75" customHeight="1">
      <c r="B290" s="5"/>
      <c r="F290" s="60"/>
      <c r="G290" s="60"/>
      <c r="H290" s="60"/>
      <c r="O290" s="61"/>
      <c r="X290" s="61"/>
      <c r="AB290" s="10"/>
    </row>
    <row r="291" ht="15.75" customHeight="1">
      <c r="B291" s="5"/>
      <c r="F291" s="60"/>
      <c r="G291" s="60"/>
      <c r="H291" s="60"/>
      <c r="O291" s="61"/>
      <c r="X291" s="61"/>
      <c r="AB291" s="10"/>
    </row>
    <row r="292" ht="15.75" customHeight="1">
      <c r="B292" s="5"/>
      <c r="F292" s="60"/>
      <c r="G292" s="60"/>
      <c r="H292" s="60"/>
      <c r="O292" s="61"/>
      <c r="X292" s="61"/>
      <c r="AB292" s="10"/>
    </row>
    <row r="293" ht="15.75" customHeight="1">
      <c r="B293" s="5"/>
      <c r="F293" s="60"/>
      <c r="G293" s="60"/>
      <c r="H293" s="60"/>
      <c r="O293" s="61"/>
      <c r="X293" s="61"/>
      <c r="AB293" s="10"/>
    </row>
    <row r="294" ht="15.75" customHeight="1">
      <c r="B294" s="5"/>
      <c r="F294" s="60"/>
      <c r="G294" s="60"/>
      <c r="H294" s="60"/>
      <c r="O294" s="61"/>
      <c r="X294" s="61"/>
      <c r="AB294" s="10"/>
    </row>
    <row r="295" ht="15.75" customHeight="1">
      <c r="B295" s="5"/>
      <c r="F295" s="60"/>
      <c r="G295" s="60"/>
      <c r="H295" s="60"/>
      <c r="O295" s="61"/>
      <c r="X295" s="61"/>
      <c r="AB295" s="10"/>
    </row>
    <row r="296" ht="15.75" customHeight="1">
      <c r="B296" s="5"/>
      <c r="F296" s="60"/>
      <c r="G296" s="60"/>
      <c r="H296" s="60"/>
      <c r="O296" s="61"/>
      <c r="X296" s="61"/>
      <c r="AB296" s="10"/>
    </row>
    <row r="297" ht="15.75" customHeight="1">
      <c r="B297" s="5"/>
      <c r="F297" s="60"/>
      <c r="G297" s="60"/>
      <c r="H297" s="60"/>
      <c r="O297" s="61"/>
      <c r="X297" s="61"/>
      <c r="AB297" s="10"/>
    </row>
    <row r="298" ht="15.75" customHeight="1">
      <c r="B298" s="5"/>
      <c r="F298" s="60"/>
      <c r="G298" s="60"/>
      <c r="H298" s="60"/>
      <c r="O298" s="61"/>
      <c r="X298" s="61"/>
      <c r="AB298" s="10"/>
    </row>
    <row r="299" ht="15.75" customHeight="1">
      <c r="B299" s="5"/>
      <c r="F299" s="60"/>
      <c r="G299" s="60"/>
      <c r="H299" s="60"/>
      <c r="O299" s="61"/>
      <c r="X299" s="61"/>
      <c r="AB299" s="10"/>
    </row>
    <row r="300" ht="15.75" customHeight="1">
      <c r="B300" s="5"/>
      <c r="F300" s="60"/>
      <c r="G300" s="60"/>
      <c r="H300" s="60"/>
      <c r="O300" s="61"/>
      <c r="X300" s="61"/>
      <c r="AB300" s="10"/>
    </row>
    <row r="301" ht="15.75" customHeight="1">
      <c r="B301" s="5"/>
      <c r="F301" s="60"/>
      <c r="G301" s="60"/>
      <c r="H301" s="60"/>
      <c r="O301" s="61"/>
      <c r="X301" s="61"/>
      <c r="AB301" s="10"/>
    </row>
    <row r="302" ht="15.75" customHeight="1">
      <c r="B302" s="5"/>
      <c r="F302" s="60"/>
      <c r="G302" s="60"/>
      <c r="H302" s="60"/>
      <c r="O302" s="61"/>
      <c r="X302" s="61"/>
      <c r="AB302" s="10"/>
    </row>
    <row r="303" ht="15.75" customHeight="1">
      <c r="B303" s="5"/>
      <c r="F303" s="60"/>
      <c r="G303" s="60"/>
      <c r="H303" s="60"/>
      <c r="O303" s="61"/>
      <c r="X303" s="61"/>
      <c r="AB303" s="10"/>
    </row>
    <row r="304" ht="15.75" customHeight="1">
      <c r="B304" s="5"/>
      <c r="F304" s="60"/>
      <c r="G304" s="60"/>
      <c r="H304" s="60"/>
      <c r="O304" s="61"/>
      <c r="X304" s="61"/>
      <c r="AB304" s="10"/>
    </row>
    <row r="305" ht="15.75" customHeight="1">
      <c r="B305" s="5"/>
      <c r="F305" s="60"/>
      <c r="G305" s="60"/>
      <c r="H305" s="60"/>
      <c r="O305" s="61"/>
      <c r="X305" s="61"/>
      <c r="AB305" s="10"/>
    </row>
    <row r="306" ht="15.75" customHeight="1">
      <c r="B306" s="5"/>
      <c r="F306" s="60"/>
      <c r="G306" s="60"/>
      <c r="H306" s="60"/>
      <c r="O306" s="61"/>
      <c r="X306" s="61"/>
      <c r="AB306" s="10"/>
    </row>
    <row r="307" ht="15.75" customHeight="1">
      <c r="B307" s="5"/>
      <c r="F307" s="60"/>
      <c r="G307" s="60"/>
      <c r="H307" s="60"/>
      <c r="O307" s="61"/>
      <c r="X307" s="61"/>
      <c r="AB307" s="10"/>
    </row>
    <row r="308" ht="15.75" customHeight="1">
      <c r="B308" s="5"/>
      <c r="F308" s="60"/>
      <c r="G308" s="60"/>
      <c r="H308" s="60"/>
      <c r="O308" s="61"/>
      <c r="X308" s="61"/>
      <c r="AB308" s="10"/>
    </row>
    <row r="309" ht="15.75" customHeight="1">
      <c r="B309" s="5"/>
      <c r="F309" s="60"/>
      <c r="G309" s="60"/>
      <c r="H309" s="60"/>
      <c r="O309" s="61"/>
      <c r="X309" s="61"/>
      <c r="AB309" s="10"/>
    </row>
    <row r="310" ht="15.75" customHeight="1">
      <c r="B310" s="5"/>
      <c r="F310" s="60"/>
      <c r="G310" s="60"/>
      <c r="H310" s="60"/>
      <c r="O310" s="61"/>
      <c r="X310" s="61"/>
      <c r="AB310" s="10"/>
    </row>
    <row r="311" ht="15.75" customHeight="1">
      <c r="B311" s="5"/>
      <c r="F311" s="60"/>
      <c r="G311" s="60"/>
      <c r="H311" s="60"/>
      <c r="O311" s="61"/>
      <c r="X311" s="61"/>
      <c r="AB311" s="10"/>
    </row>
    <row r="312" ht="15.75" customHeight="1">
      <c r="B312" s="5"/>
      <c r="F312" s="60"/>
      <c r="G312" s="60"/>
      <c r="H312" s="60"/>
      <c r="O312" s="61"/>
      <c r="X312" s="61"/>
      <c r="AB312" s="10"/>
    </row>
    <row r="313" ht="15.75" customHeight="1">
      <c r="B313" s="5"/>
      <c r="F313" s="60"/>
      <c r="G313" s="60"/>
      <c r="H313" s="60"/>
      <c r="O313" s="61"/>
      <c r="X313" s="61"/>
      <c r="AB313" s="10"/>
    </row>
    <row r="314" ht="15.75" customHeight="1">
      <c r="B314" s="5"/>
      <c r="F314" s="60"/>
      <c r="G314" s="60"/>
      <c r="H314" s="60"/>
      <c r="O314" s="61"/>
      <c r="X314" s="61"/>
      <c r="AB314" s="10"/>
    </row>
    <row r="315" ht="15.75" customHeight="1">
      <c r="B315" s="5"/>
      <c r="F315" s="60"/>
      <c r="G315" s="60"/>
      <c r="H315" s="60"/>
      <c r="O315" s="61"/>
      <c r="X315" s="61"/>
      <c r="AB315" s="10"/>
    </row>
    <row r="316" ht="15.75" customHeight="1">
      <c r="B316" s="5"/>
      <c r="F316" s="60"/>
      <c r="G316" s="60"/>
      <c r="H316" s="60"/>
      <c r="O316" s="61"/>
      <c r="X316" s="61"/>
      <c r="AB316" s="10"/>
    </row>
    <row r="317" ht="15.75" customHeight="1">
      <c r="B317" s="5"/>
      <c r="F317" s="60"/>
      <c r="G317" s="60"/>
      <c r="H317" s="60"/>
      <c r="O317" s="61"/>
      <c r="X317" s="61"/>
      <c r="AB317" s="10"/>
    </row>
    <row r="318" ht="15.75" customHeight="1">
      <c r="B318" s="5"/>
      <c r="F318" s="60"/>
      <c r="G318" s="60"/>
      <c r="H318" s="60"/>
      <c r="O318" s="61"/>
      <c r="X318" s="61"/>
      <c r="AB318" s="10"/>
    </row>
    <row r="319" ht="15.75" customHeight="1">
      <c r="B319" s="5"/>
      <c r="F319" s="60"/>
      <c r="G319" s="60"/>
      <c r="H319" s="60"/>
      <c r="O319" s="61"/>
      <c r="X319" s="61"/>
      <c r="AB319" s="10"/>
    </row>
    <row r="320" ht="15.75" customHeight="1">
      <c r="B320" s="5"/>
      <c r="F320" s="60"/>
      <c r="G320" s="60"/>
      <c r="H320" s="60"/>
      <c r="O320" s="61"/>
      <c r="X320" s="61"/>
      <c r="AB320" s="10"/>
    </row>
    <row r="321" ht="15.75" customHeight="1">
      <c r="B321" s="5"/>
      <c r="F321" s="60"/>
      <c r="G321" s="60"/>
      <c r="H321" s="60"/>
      <c r="O321" s="61"/>
      <c r="X321" s="61"/>
      <c r="AB321" s="10"/>
    </row>
    <row r="322" ht="15.75" customHeight="1">
      <c r="B322" s="5"/>
      <c r="F322" s="60"/>
      <c r="G322" s="60"/>
      <c r="H322" s="60"/>
      <c r="O322" s="61"/>
      <c r="X322" s="61"/>
      <c r="AB322" s="10"/>
    </row>
    <row r="323" ht="15.75" customHeight="1">
      <c r="B323" s="5"/>
      <c r="F323" s="60"/>
      <c r="G323" s="60"/>
      <c r="H323" s="60"/>
      <c r="O323" s="61"/>
      <c r="X323" s="61"/>
      <c r="AB323" s="10"/>
    </row>
    <row r="324" ht="15.75" customHeight="1">
      <c r="B324" s="5"/>
      <c r="F324" s="60"/>
      <c r="G324" s="60"/>
      <c r="H324" s="60"/>
      <c r="O324" s="61"/>
      <c r="X324" s="61"/>
      <c r="AB324" s="10"/>
    </row>
    <row r="325" ht="15.75" customHeight="1">
      <c r="B325" s="5"/>
      <c r="F325" s="60"/>
      <c r="G325" s="60"/>
      <c r="H325" s="60"/>
      <c r="O325" s="61"/>
      <c r="X325" s="61"/>
      <c r="AB325" s="10"/>
    </row>
    <row r="326" ht="15.75" customHeight="1">
      <c r="B326" s="5"/>
      <c r="F326" s="60"/>
      <c r="G326" s="60"/>
      <c r="H326" s="60"/>
      <c r="O326" s="61"/>
      <c r="X326" s="61"/>
      <c r="AB326" s="10"/>
    </row>
    <row r="327" ht="15.75" customHeight="1">
      <c r="B327" s="5"/>
      <c r="F327" s="60"/>
      <c r="G327" s="60"/>
      <c r="H327" s="60"/>
      <c r="O327" s="61"/>
      <c r="X327" s="61"/>
      <c r="AB327" s="10"/>
    </row>
    <row r="328" ht="15.75" customHeight="1">
      <c r="B328" s="5"/>
      <c r="F328" s="60"/>
      <c r="G328" s="60"/>
      <c r="H328" s="60"/>
      <c r="O328" s="61"/>
      <c r="X328" s="61"/>
      <c r="AB328" s="10"/>
    </row>
    <row r="329" ht="15.75" customHeight="1">
      <c r="B329" s="5"/>
      <c r="F329" s="60"/>
      <c r="G329" s="60"/>
      <c r="H329" s="60"/>
      <c r="O329" s="61"/>
      <c r="X329" s="61"/>
      <c r="AB329" s="10"/>
    </row>
    <row r="330" ht="15.75" customHeight="1">
      <c r="B330" s="5"/>
      <c r="F330" s="60"/>
      <c r="G330" s="60"/>
      <c r="H330" s="60"/>
      <c r="O330" s="61"/>
      <c r="X330" s="61"/>
      <c r="AB330" s="10"/>
    </row>
    <row r="331" ht="15.75" customHeight="1">
      <c r="B331" s="5"/>
      <c r="F331" s="60"/>
      <c r="G331" s="60"/>
      <c r="H331" s="60"/>
      <c r="O331" s="61"/>
      <c r="X331" s="61"/>
      <c r="AB331" s="10"/>
    </row>
    <row r="332" ht="15.75" customHeight="1">
      <c r="B332" s="5"/>
      <c r="F332" s="60"/>
      <c r="G332" s="60"/>
      <c r="H332" s="60"/>
      <c r="O332" s="61"/>
      <c r="X332" s="61"/>
      <c r="AB332" s="10"/>
    </row>
    <row r="333" ht="15.75" customHeight="1">
      <c r="B333" s="5"/>
      <c r="F333" s="60"/>
      <c r="G333" s="60"/>
      <c r="H333" s="60"/>
      <c r="O333" s="61"/>
      <c r="X333" s="61"/>
      <c r="AB333" s="10"/>
    </row>
    <row r="334" ht="15.75" customHeight="1">
      <c r="B334" s="5"/>
      <c r="F334" s="60"/>
      <c r="G334" s="60"/>
      <c r="H334" s="60"/>
      <c r="O334" s="61"/>
      <c r="X334" s="61"/>
      <c r="AB334" s="10"/>
    </row>
    <row r="335" ht="15.75" customHeight="1">
      <c r="B335" s="5"/>
      <c r="F335" s="60"/>
      <c r="G335" s="60"/>
      <c r="H335" s="60"/>
      <c r="O335" s="61"/>
      <c r="X335" s="61"/>
      <c r="AB335" s="10"/>
    </row>
    <row r="336" ht="15.75" customHeight="1">
      <c r="B336" s="5"/>
      <c r="F336" s="60"/>
      <c r="G336" s="60"/>
      <c r="H336" s="60"/>
      <c r="O336" s="61"/>
      <c r="X336" s="61"/>
      <c r="AB336" s="10"/>
    </row>
    <row r="337" ht="15.75" customHeight="1">
      <c r="B337" s="5"/>
      <c r="F337" s="60"/>
      <c r="G337" s="60"/>
      <c r="H337" s="60"/>
      <c r="O337" s="61"/>
      <c r="X337" s="61"/>
      <c r="AB337" s="10"/>
    </row>
    <row r="338" ht="15.75" customHeight="1">
      <c r="B338" s="5"/>
      <c r="F338" s="60"/>
      <c r="G338" s="60"/>
      <c r="H338" s="60"/>
      <c r="O338" s="61"/>
      <c r="X338" s="61"/>
      <c r="AB338" s="10"/>
    </row>
    <row r="339" ht="15.75" customHeight="1">
      <c r="B339" s="5"/>
      <c r="F339" s="60"/>
      <c r="G339" s="60"/>
      <c r="H339" s="60"/>
      <c r="O339" s="61"/>
      <c r="X339" s="61"/>
      <c r="AB339" s="10"/>
    </row>
    <row r="340" ht="15.75" customHeight="1">
      <c r="B340" s="5"/>
      <c r="F340" s="60"/>
      <c r="G340" s="60"/>
      <c r="H340" s="60"/>
      <c r="O340" s="61"/>
      <c r="X340" s="61"/>
      <c r="AB340" s="10"/>
    </row>
    <row r="341" ht="15.75" customHeight="1">
      <c r="B341" s="5"/>
      <c r="F341" s="60"/>
      <c r="G341" s="60"/>
      <c r="H341" s="60"/>
      <c r="O341" s="61"/>
      <c r="X341" s="61"/>
      <c r="AB341" s="10"/>
    </row>
    <row r="342" ht="15.75" customHeight="1">
      <c r="B342" s="5"/>
      <c r="F342" s="60"/>
      <c r="G342" s="60"/>
      <c r="H342" s="60"/>
      <c r="O342" s="61"/>
      <c r="X342" s="61"/>
      <c r="AB342" s="10"/>
    </row>
    <row r="343" ht="15.75" customHeight="1">
      <c r="B343" s="5"/>
      <c r="F343" s="60"/>
      <c r="G343" s="60"/>
      <c r="H343" s="60"/>
      <c r="O343" s="61"/>
      <c r="X343" s="61"/>
      <c r="AB343" s="10"/>
    </row>
    <row r="344" ht="15.75" customHeight="1">
      <c r="B344" s="5"/>
      <c r="F344" s="60"/>
      <c r="G344" s="60"/>
      <c r="H344" s="60"/>
      <c r="O344" s="61"/>
      <c r="X344" s="61"/>
      <c r="AB344" s="10"/>
    </row>
    <row r="345" ht="15.75" customHeight="1">
      <c r="B345" s="5"/>
      <c r="F345" s="60"/>
      <c r="G345" s="60"/>
      <c r="H345" s="60"/>
      <c r="O345" s="61"/>
      <c r="X345" s="61"/>
      <c r="AB345" s="10"/>
    </row>
    <row r="346" ht="15.75" customHeight="1">
      <c r="B346" s="5"/>
      <c r="F346" s="60"/>
      <c r="G346" s="60"/>
      <c r="H346" s="60"/>
      <c r="O346" s="61"/>
      <c r="X346" s="61"/>
      <c r="AB346" s="10"/>
    </row>
    <row r="347" ht="15.75" customHeight="1">
      <c r="B347" s="5"/>
      <c r="F347" s="60"/>
      <c r="G347" s="60"/>
      <c r="H347" s="60"/>
      <c r="O347" s="61"/>
      <c r="X347" s="61"/>
      <c r="AB347" s="10"/>
    </row>
    <row r="348" ht="15.75" customHeight="1">
      <c r="B348" s="5"/>
      <c r="F348" s="60"/>
      <c r="G348" s="60"/>
      <c r="H348" s="60"/>
      <c r="O348" s="61"/>
      <c r="X348" s="61"/>
      <c r="AB348" s="10"/>
    </row>
    <row r="349" ht="15.75" customHeight="1">
      <c r="B349" s="5"/>
      <c r="F349" s="60"/>
      <c r="G349" s="60"/>
      <c r="H349" s="60"/>
      <c r="O349" s="61"/>
      <c r="X349" s="61"/>
      <c r="AB349" s="10"/>
    </row>
    <row r="350" ht="15.75" customHeight="1">
      <c r="B350" s="5"/>
      <c r="F350" s="60"/>
      <c r="G350" s="60"/>
      <c r="H350" s="60"/>
      <c r="O350" s="61"/>
      <c r="X350" s="61"/>
      <c r="AB350" s="10"/>
    </row>
    <row r="351" ht="15.75" customHeight="1">
      <c r="B351" s="5"/>
      <c r="F351" s="60"/>
      <c r="G351" s="60"/>
      <c r="H351" s="60"/>
      <c r="O351" s="61"/>
      <c r="X351" s="61"/>
      <c r="AB351" s="10"/>
    </row>
    <row r="352" ht="15.75" customHeight="1">
      <c r="B352" s="5"/>
      <c r="F352" s="60"/>
      <c r="G352" s="60"/>
      <c r="H352" s="60"/>
      <c r="O352" s="61"/>
      <c r="X352" s="61"/>
      <c r="AB352" s="10"/>
    </row>
    <row r="353" ht="15.75" customHeight="1">
      <c r="B353" s="5"/>
      <c r="F353" s="60"/>
      <c r="G353" s="60"/>
      <c r="H353" s="60"/>
      <c r="O353" s="61"/>
      <c r="X353" s="61"/>
      <c r="AB353" s="10"/>
    </row>
    <row r="354" ht="15.75" customHeight="1">
      <c r="B354" s="5"/>
      <c r="F354" s="60"/>
      <c r="G354" s="60"/>
      <c r="H354" s="60"/>
      <c r="O354" s="61"/>
      <c r="X354" s="61"/>
      <c r="AB354" s="10"/>
    </row>
    <row r="355" ht="15.75" customHeight="1">
      <c r="B355" s="5"/>
      <c r="F355" s="60"/>
      <c r="G355" s="60"/>
      <c r="H355" s="60"/>
      <c r="O355" s="61"/>
      <c r="X355" s="61"/>
      <c r="AB355" s="10"/>
    </row>
    <row r="356" ht="15.75" customHeight="1">
      <c r="B356" s="5"/>
      <c r="F356" s="60"/>
      <c r="G356" s="60"/>
      <c r="H356" s="60"/>
      <c r="O356" s="61"/>
      <c r="X356" s="61"/>
      <c r="AB356" s="10"/>
    </row>
    <row r="357" ht="15.75" customHeight="1">
      <c r="B357" s="5"/>
      <c r="F357" s="60"/>
      <c r="G357" s="60"/>
      <c r="H357" s="60"/>
      <c r="O357" s="61"/>
      <c r="X357" s="61"/>
      <c r="AB357" s="10"/>
    </row>
    <row r="358" ht="15.75" customHeight="1">
      <c r="B358" s="5"/>
      <c r="F358" s="60"/>
      <c r="G358" s="60"/>
      <c r="H358" s="60"/>
      <c r="O358" s="61"/>
      <c r="X358" s="61"/>
      <c r="AB358" s="10"/>
    </row>
    <row r="359" ht="15.75" customHeight="1">
      <c r="B359" s="5"/>
      <c r="F359" s="60"/>
      <c r="G359" s="60"/>
      <c r="H359" s="60"/>
      <c r="O359" s="61"/>
      <c r="X359" s="61"/>
      <c r="AB359" s="10"/>
    </row>
    <row r="360" ht="15.75" customHeight="1">
      <c r="B360" s="5"/>
      <c r="F360" s="60"/>
      <c r="G360" s="60"/>
      <c r="H360" s="60"/>
      <c r="O360" s="61"/>
      <c r="X360" s="61"/>
      <c r="AB360" s="10"/>
    </row>
    <row r="361" ht="15.75" customHeight="1">
      <c r="B361" s="5"/>
      <c r="F361" s="60"/>
      <c r="G361" s="60"/>
      <c r="H361" s="60"/>
      <c r="O361" s="61"/>
      <c r="X361" s="61"/>
      <c r="AB361" s="10"/>
    </row>
    <row r="362" ht="15.75" customHeight="1">
      <c r="B362" s="5"/>
      <c r="F362" s="60"/>
      <c r="G362" s="60"/>
      <c r="H362" s="60"/>
      <c r="O362" s="61"/>
      <c r="X362" s="61"/>
      <c r="AB362" s="10"/>
    </row>
    <row r="363" ht="15.75" customHeight="1">
      <c r="B363" s="5"/>
      <c r="F363" s="60"/>
      <c r="G363" s="60"/>
      <c r="H363" s="60"/>
      <c r="O363" s="61"/>
      <c r="X363" s="61"/>
      <c r="AB363" s="10"/>
    </row>
    <row r="364" ht="15.75" customHeight="1">
      <c r="B364" s="5"/>
      <c r="F364" s="60"/>
      <c r="G364" s="60"/>
      <c r="H364" s="60"/>
      <c r="O364" s="61"/>
      <c r="X364" s="61"/>
      <c r="AB364" s="10"/>
    </row>
    <row r="365" ht="15.75" customHeight="1">
      <c r="B365" s="5"/>
      <c r="F365" s="60"/>
      <c r="G365" s="60"/>
      <c r="H365" s="60"/>
      <c r="O365" s="61"/>
      <c r="X365" s="61"/>
      <c r="AB365" s="10"/>
    </row>
    <row r="366" ht="15.75" customHeight="1">
      <c r="B366" s="5"/>
      <c r="F366" s="60"/>
      <c r="G366" s="60"/>
      <c r="H366" s="60"/>
      <c r="O366" s="61"/>
      <c r="X366" s="61"/>
      <c r="AB366" s="10"/>
    </row>
    <row r="367" ht="15.75" customHeight="1">
      <c r="B367" s="5"/>
      <c r="F367" s="60"/>
      <c r="G367" s="60"/>
      <c r="H367" s="60"/>
      <c r="O367" s="61"/>
      <c r="X367" s="61"/>
      <c r="AB367" s="10"/>
    </row>
    <row r="368" ht="15.75" customHeight="1">
      <c r="B368" s="5"/>
      <c r="F368" s="60"/>
      <c r="G368" s="60"/>
      <c r="H368" s="60"/>
      <c r="O368" s="61"/>
      <c r="X368" s="61"/>
      <c r="AB368" s="10"/>
    </row>
    <row r="369" ht="15.75" customHeight="1">
      <c r="B369" s="5"/>
      <c r="F369" s="60"/>
      <c r="G369" s="60"/>
      <c r="H369" s="60"/>
      <c r="O369" s="61"/>
      <c r="X369" s="61"/>
      <c r="AB369" s="10"/>
    </row>
    <row r="370" ht="15.75" customHeight="1">
      <c r="B370" s="5"/>
      <c r="F370" s="60"/>
      <c r="G370" s="60"/>
      <c r="H370" s="60"/>
      <c r="O370" s="61"/>
      <c r="X370" s="61"/>
      <c r="AB370" s="10"/>
    </row>
    <row r="371" ht="15.75" customHeight="1">
      <c r="B371" s="5"/>
      <c r="F371" s="60"/>
      <c r="G371" s="60"/>
      <c r="H371" s="60"/>
      <c r="O371" s="61"/>
      <c r="X371" s="61"/>
      <c r="AB371" s="10"/>
    </row>
    <row r="372" ht="15.75" customHeight="1">
      <c r="B372" s="5"/>
      <c r="F372" s="60"/>
      <c r="G372" s="60"/>
      <c r="H372" s="60"/>
      <c r="O372" s="61"/>
      <c r="X372" s="61"/>
      <c r="AB372" s="10"/>
    </row>
    <row r="373" ht="15.75" customHeight="1">
      <c r="B373" s="5"/>
      <c r="F373" s="60"/>
      <c r="G373" s="60"/>
      <c r="H373" s="60"/>
      <c r="O373" s="61"/>
      <c r="X373" s="61"/>
      <c r="AB373" s="10"/>
    </row>
    <row r="374" ht="15.75" customHeight="1">
      <c r="B374" s="5"/>
      <c r="F374" s="60"/>
      <c r="G374" s="60"/>
      <c r="H374" s="60"/>
      <c r="O374" s="61"/>
      <c r="X374" s="61"/>
      <c r="AB374" s="10"/>
    </row>
    <row r="375" ht="15.75" customHeight="1">
      <c r="B375" s="5"/>
      <c r="F375" s="60"/>
      <c r="G375" s="60"/>
      <c r="H375" s="60"/>
      <c r="O375" s="61"/>
      <c r="X375" s="61"/>
      <c r="AB375" s="10"/>
    </row>
    <row r="376" ht="15.75" customHeight="1">
      <c r="B376" s="5"/>
      <c r="F376" s="60"/>
      <c r="G376" s="60"/>
      <c r="H376" s="60"/>
      <c r="O376" s="61"/>
      <c r="X376" s="61"/>
      <c r="AB376" s="10"/>
    </row>
    <row r="377" ht="15.75" customHeight="1">
      <c r="B377" s="5"/>
      <c r="F377" s="60"/>
      <c r="G377" s="60"/>
      <c r="H377" s="60"/>
      <c r="O377" s="61"/>
      <c r="X377" s="61"/>
      <c r="AB377" s="10"/>
    </row>
    <row r="378" ht="15.75" customHeight="1">
      <c r="B378" s="5"/>
      <c r="F378" s="60"/>
      <c r="G378" s="60"/>
      <c r="H378" s="60"/>
      <c r="O378" s="61"/>
      <c r="X378" s="61"/>
      <c r="AB378" s="10"/>
    </row>
    <row r="379" ht="15.75" customHeight="1">
      <c r="B379" s="5"/>
      <c r="F379" s="60"/>
      <c r="G379" s="60"/>
      <c r="H379" s="60"/>
      <c r="O379" s="61"/>
      <c r="X379" s="61"/>
      <c r="AB379" s="10"/>
    </row>
    <row r="380" ht="15.75" customHeight="1">
      <c r="B380" s="5"/>
      <c r="F380" s="60"/>
      <c r="G380" s="60"/>
      <c r="H380" s="60"/>
      <c r="O380" s="61"/>
      <c r="X380" s="61"/>
      <c r="AB380" s="10"/>
    </row>
    <row r="381" ht="15.75" customHeight="1">
      <c r="B381" s="5"/>
      <c r="F381" s="60"/>
      <c r="G381" s="60"/>
      <c r="H381" s="60"/>
      <c r="O381" s="61"/>
      <c r="X381" s="61"/>
      <c r="AB381" s="10"/>
    </row>
    <row r="382" ht="15.75" customHeight="1">
      <c r="B382" s="5"/>
      <c r="F382" s="60"/>
      <c r="G382" s="60"/>
      <c r="H382" s="60"/>
      <c r="O382" s="61"/>
      <c r="X382" s="61"/>
      <c r="AB382" s="10"/>
    </row>
    <row r="383" ht="15.75" customHeight="1">
      <c r="B383" s="5"/>
      <c r="F383" s="60"/>
      <c r="G383" s="60"/>
      <c r="H383" s="60"/>
      <c r="O383" s="61"/>
      <c r="X383" s="61"/>
      <c r="AB383" s="10"/>
    </row>
    <row r="384" ht="15.75" customHeight="1">
      <c r="B384" s="5"/>
      <c r="F384" s="60"/>
      <c r="G384" s="60"/>
      <c r="H384" s="60"/>
      <c r="O384" s="61"/>
      <c r="X384" s="61"/>
      <c r="AB384" s="10"/>
    </row>
    <row r="385" ht="15.75" customHeight="1">
      <c r="B385" s="5"/>
      <c r="F385" s="60"/>
      <c r="G385" s="60"/>
      <c r="H385" s="60"/>
      <c r="O385" s="61"/>
      <c r="X385" s="61"/>
      <c r="AB385" s="10"/>
    </row>
    <row r="386" ht="15.75" customHeight="1">
      <c r="B386" s="5"/>
      <c r="F386" s="60"/>
      <c r="G386" s="60"/>
      <c r="H386" s="60"/>
      <c r="O386" s="61"/>
      <c r="X386" s="61"/>
      <c r="AB386" s="10"/>
    </row>
    <row r="387" ht="15.75" customHeight="1">
      <c r="B387" s="5"/>
      <c r="F387" s="60"/>
      <c r="G387" s="60"/>
      <c r="H387" s="60"/>
      <c r="O387" s="61"/>
      <c r="X387" s="61"/>
      <c r="AB387" s="10"/>
    </row>
    <row r="388" ht="15.75" customHeight="1">
      <c r="B388" s="5"/>
      <c r="F388" s="60"/>
      <c r="G388" s="60"/>
      <c r="H388" s="60"/>
      <c r="O388" s="61"/>
      <c r="X388" s="61"/>
      <c r="AB388" s="10"/>
    </row>
    <row r="389" ht="15.75" customHeight="1">
      <c r="B389" s="5"/>
      <c r="F389" s="60"/>
      <c r="G389" s="60"/>
      <c r="H389" s="60"/>
      <c r="O389" s="61"/>
      <c r="X389" s="61"/>
      <c r="AB389" s="10"/>
    </row>
    <row r="390" ht="15.75" customHeight="1">
      <c r="B390" s="5"/>
      <c r="F390" s="60"/>
      <c r="G390" s="60"/>
      <c r="H390" s="60"/>
      <c r="O390" s="61"/>
      <c r="X390" s="61"/>
      <c r="AB390" s="10"/>
    </row>
    <row r="391" ht="15.75" customHeight="1">
      <c r="B391" s="5"/>
      <c r="F391" s="60"/>
      <c r="G391" s="60"/>
      <c r="H391" s="60"/>
      <c r="O391" s="61"/>
      <c r="X391" s="61"/>
      <c r="AB391" s="10"/>
    </row>
    <row r="392" ht="15.75" customHeight="1">
      <c r="B392" s="5"/>
      <c r="F392" s="60"/>
      <c r="G392" s="60"/>
      <c r="H392" s="60"/>
      <c r="O392" s="61"/>
      <c r="X392" s="61"/>
      <c r="AB392" s="10"/>
    </row>
    <row r="393" ht="15.75" customHeight="1">
      <c r="B393" s="5"/>
      <c r="F393" s="60"/>
      <c r="G393" s="60"/>
      <c r="H393" s="60"/>
      <c r="O393" s="61"/>
      <c r="X393" s="61"/>
      <c r="AB393" s="10"/>
    </row>
    <row r="394" ht="15.75" customHeight="1">
      <c r="B394" s="5"/>
      <c r="F394" s="60"/>
      <c r="G394" s="60"/>
      <c r="H394" s="60"/>
      <c r="O394" s="61"/>
      <c r="X394" s="61"/>
      <c r="AB394" s="10"/>
    </row>
    <row r="395" ht="15.75" customHeight="1">
      <c r="B395" s="5"/>
      <c r="F395" s="60"/>
      <c r="G395" s="60"/>
      <c r="H395" s="60"/>
      <c r="O395" s="61"/>
      <c r="X395" s="61"/>
      <c r="AB395" s="10"/>
    </row>
    <row r="396" ht="15.75" customHeight="1">
      <c r="B396" s="5"/>
      <c r="F396" s="60"/>
      <c r="G396" s="60"/>
      <c r="H396" s="60"/>
      <c r="O396" s="61"/>
      <c r="X396" s="61"/>
      <c r="AB396" s="10"/>
    </row>
    <row r="397" ht="15.75" customHeight="1">
      <c r="B397" s="5"/>
      <c r="F397" s="60"/>
      <c r="G397" s="60"/>
      <c r="H397" s="60"/>
      <c r="O397" s="61"/>
      <c r="X397" s="61"/>
      <c r="AB397" s="10"/>
    </row>
    <row r="398" ht="15.75" customHeight="1">
      <c r="B398" s="5"/>
      <c r="F398" s="60"/>
      <c r="G398" s="60"/>
      <c r="H398" s="60"/>
      <c r="O398" s="61"/>
      <c r="X398" s="61"/>
      <c r="AB398" s="10"/>
    </row>
    <row r="399" ht="15.75" customHeight="1">
      <c r="B399" s="5"/>
      <c r="F399" s="60"/>
      <c r="G399" s="60"/>
      <c r="H399" s="60"/>
      <c r="O399" s="61"/>
      <c r="X399" s="61"/>
      <c r="AB399" s="10"/>
    </row>
    <row r="400" ht="15.75" customHeight="1">
      <c r="B400" s="5"/>
      <c r="F400" s="60"/>
      <c r="G400" s="60"/>
      <c r="H400" s="60"/>
      <c r="O400" s="61"/>
      <c r="X400" s="61"/>
      <c r="AB400" s="10"/>
    </row>
    <row r="401" ht="15.75" customHeight="1">
      <c r="B401" s="5"/>
      <c r="F401" s="60"/>
      <c r="G401" s="60"/>
      <c r="H401" s="60"/>
      <c r="O401" s="61"/>
      <c r="X401" s="61"/>
      <c r="AB401" s="10"/>
    </row>
    <row r="402" ht="15.75" customHeight="1">
      <c r="B402" s="5"/>
      <c r="F402" s="60"/>
      <c r="G402" s="60"/>
      <c r="H402" s="60"/>
      <c r="O402" s="61"/>
      <c r="X402" s="61"/>
      <c r="AB402" s="10"/>
    </row>
    <row r="403" ht="15.75" customHeight="1">
      <c r="B403" s="5"/>
      <c r="F403" s="60"/>
      <c r="G403" s="60"/>
      <c r="H403" s="60"/>
      <c r="O403" s="61"/>
      <c r="X403" s="61"/>
      <c r="AB403" s="10"/>
    </row>
    <row r="404" ht="15.75" customHeight="1">
      <c r="B404" s="5"/>
      <c r="F404" s="60"/>
      <c r="G404" s="60"/>
      <c r="H404" s="60"/>
      <c r="O404" s="61"/>
      <c r="X404" s="61"/>
      <c r="AB404" s="10"/>
    </row>
    <row r="405" ht="15.75" customHeight="1">
      <c r="B405" s="5"/>
      <c r="F405" s="60"/>
      <c r="G405" s="60"/>
      <c r="H405" s="60"/>
      <c r="O405" s="61"/>
      <c r="X405" s="61"/>
      <c r="AB405" s="10"/>
    </row>
    <row r="406" ht="15.75" customHeight="1">
      <c r="B406" s="5"/>
      <c r="F406" s="60"/>
      <c r="G406" s="60"/>
      <c r="H406" s="60"/>
      <c r="O406" s="61"/>
      <c r="X406" s="61"/>
      <c r="AB406" s="10"/>
    </row>
    <row r="407" ht="15.75" customHeight="1">
      <c r="B407" s="5"/>
      <c r="F407" s="60"/>
      <c r="G407" s="60"/>
      <c r="H407" s="60"/>
      <c r="O407" s="61"/>
      <c r="X407" s="61"/>
      <c r="AB407" s="10"/>
    </row>
    <row r="408" ht="15.75" customHeight="1">
      <c r="B408" s="5"/>
      <c r="F408" s="60"/>
      <c r="G408" s="60"/>
      <c r="H408" s="60"/>
      <c r="O408" s="61"/>
      <c r="X408" s="61"/>
      <c r="AB408" s="10"/>
    </row>
    <row r="409" ht="15.75" customHeight="1">
      <c r="B409" s="5"/>
      <c r="F409" s="60"/>
      <c r="G409" s="60"/>
      <c r="H409" s="60"/>
      <c r="O409" s="61"/>
      <c r="X409" s="61"/>
      <c r="AB409" s="10"/>
    </row>
    <row r="410" ht="15.75" customHeight="1">
      <c r="B410" s="5"/>
      <c r="F410" s="60"/>
      <c r="G410" s="60"/>
      <c r="H410" s="60"/>
      <c r="O410" s="61"/>
      <c r="X410" s="61"/>
      <c r="AB410" s="10"/>
    </row>
    <row r="411" ht="15.75" customHeight="1">
      <c r="B411" s="5"/>
      <c r="F411" s="60"/>
      <c r="G411" s="60"/>
      <c r="H411" s="60"/>
      <c r="O411" s="61"/>
      <c r="X411" s="61"/>
      <c r="AB411" s="10"/>
    </row>
    <row r="412" ht="15.75" customHeight="1">
      <c r="B412" s="5"/>
      <c r="F412" s="60"/>
      <c r="G412" s="60"/>
      <c r="H412" s="60"/>
      <c r="O412" s="61"/>
      <c r="X412" s="61"/>
      <c r="AB412" s="10"/>
    </row>
    <row r="413" ht="15.75" customHeight="1">
      <c r="B413" s="5"/>
      <c r="F413" s="60"/>
      <c r="G413" s="60"/>
      <c r="H413" s="60"/>
      <c r="O413" s="61"/>
      <c r="X413" s="61"/>
      <c r="AB413" s="10"/>
    </row>
    <row r="414" ht="15.75" customHeight="1">
      <c r="B414" s="5"/>
      <c r="F414" s="60"/>
      <c r="G414" s="60"/>
      <c r="H414" s="60"/>
      <c r="O414" s="61"/>
      <c r="X414" s="61"/>
      <c r="AB414" s="10"/>
    </row>
    <row r="415" ht="15.75" customHeight="1">
      <c r="B415" s="5"/>
      <c r="F415" s="60"/>
      <c r="G415" s="60"/>
      <c r="H415" s="60"/>
      <c r="O415" s="61"/>
      <c r="X415" s="61"/>
      <c r="AB415" s="10"/>
    </row>
    <row r="416" ht="15.75" customHeight="1">
      <c r="B416" s="5"/>
      <c r="F416" s="60"/>
      <c r="G416" s="60"/>
      <c r="H416" s="60"/>
      <c r="O416" s="61"/>
      <c r="X416" s="61"/>
      <c r="AB416" s="10"/>
    </row>
    <row r="417" ht="15.75" customHeight="1">
      <c r="B417" s="5"/>
      <c r="F417" s="60"/>
      <c r="G417" s="60"/>
      <c r="H417" s="60"/>
      <c r="O417" s="61"/>
      <c r="X417" s="61"/>
      <c r="AB417" s="10"/>
    </row>
    <row r="418" ht="15.75" customHeight="1">
      <c r="B418" s="5"/>
      <c r="F418" s="60"/>
      <c r="G418" s="60"/>
      <c r="H418" s="60"/>
      <c r="O418" s="61"/>
      <c r="X418" s="61"/>
      <c r="AB418" s="10"/>
    </row>
    <row r="419" ht="15.75" customHeight="1">
      <c r="B419" s="5"/>
      <c r="F419" s="60"/>
      <c r="G419" s="60"/>
      <c r="H419" s="60"/>
      <c r="O419" s="61"/>
      <c r="X419" s="61"/>
      <c r="AB419" s="10"/>
    </row>
    <row r="420" ht="15.75" customHeight="1">
      <c r="B420" s="5"/>
      <c r="F420" s="60"/>
      <c r="G420" s="60"/>
      <c r="H420" s="60"/>
      <c r="O420" s="61"/>
      <c r="X420" s="61"/>
      <c r="AB420" s="10"/>
    </row>
    <row r="421" ht="15.75" customHeight="1">
      <c r="B421" s="5"/>
      <c r="F421" s="60"/>
      <c r="G421" s="60"/>
      <c r="H421" s="60"/>
      <c r="O421" s="61"/>
      <c r="X421" s="61"/>
      <c r="AB421" s="10"/>
    </row>
    <row r="422" ht="15.75" customHeight="1">
      <c r="B422" s="5"/>
      <c r="F422" s="60"/>
      <c r="G422" s="60"/>
      <c r="H422" s="60"/>
      <c r="O422" s="61"/>
      <c r="X422" s="61"/>
      <c r="AB422" s="10"/>
    </row>
    <row r="423" ht="15.75" customHeight="1">
      <c r="B423" s="5"/>
      <c r="F423" s="60"/>
      <c r="G423" s="60"/>
      <c r="H423" s="60"/>
      <c r="O423" s="61"/>
      <c r="X423" s="61"/>
      <c r="AB423" s="10"/>
    </row>
    <row r="424" ht="15.75" customHeight="1">
      <c r="B424" s="5"/>
      <c r="F424" s="60"/>
      <c r="G424" s="60"/>
      <c r="H424" s="60"/>
      <c r="O424" s="61"/>
      <c r="X424" s="61"/>
      <c r="AB424" s="10"/>
    </row>
    <row r="425" ht="15.75" customHeight="1">
      <c r="B425" s="5"/>
      <c r="F425" s="60"/>
      <c r="G425" s="60"/>
      <c r="H425" s="60"/>
      <c r="O425" s="61"/>
      <c r="X425" s="61"/>
      <c r="AB425" s="10"/>
    </row>
    <row r="426" ht="15.75" customHeight="1">
      <c r="B426" s="5"/>
      <c r="F426" s="60"/>
      <c r="G426" s="60"/>
      <c r="H426" s="60"/>
      <c r="O426" s="61"/>
      <c r="X426" s="61"/>
      <c r="AB426" s="10"/>
    </row>
    <row r="427" ht="15.75" customHeight="1">
      <c r="B427" s="5"/>
      <c r="F427" s="60"/>
      <c r="G427" s="60"/>
      <c r="H427" s="60"/>
      <c r="O427" s="61"/>
      <c r="X427" s="61"/>
      <c r="AB427" s="10"/>
    </row>
    <row r="428" ht="15.75" customHeight="1">
      <c r="B428" s="5"/>
      <c r="F428" s="60"/>
      <c r="G428" s="60"/>
      <c r="H428" s="60"/>
      <c r="O428" s="61"/>
      <c r="X428" s="61"/>
      <c r="AB428" s="10"/>
    </row>
    <row r="429" ht="15.75" customHeight="1">
      <c r="B429" s="5"/>
      <c r="F429" s="60"/>
      <c r="G429" s="60"/>
      <c r="H429" s="60"/>
      <c r="O429" s="61"/>
      <c r="X429" s="61"/>
      <c r="AB429" s="10"/>
    </row>
    <row r="430" ht="15.75" customHeight="1">
      <c r="B430" s="5"/>
      <c r="F430" s="60"/>
      <c r="G430" s="60"/>
      <c r="H430" s="60"/>
      <c r="O430" s="61"/>
      <c r="X430" s="61"/>
      <c r="AB430" s="10"/>
    </row>
    <row r="431" ht="15.75" customHeight="1">
      <c r="B431" s="5"/>
      <c r="F431" s="60"/>
      <c r="G431" s="60"/>
      <c r="H431" s="60"/>
      <c r="O431" s="61"/>
      <c r="X431" s="61"/>
      <c r="AB431" s="10"/>
    </row>
    <row r="432" ht="15.75" customHeight="1">
      <c r="B432" s="5"/>
      <c r="F432" s="60"/>
      <c r="G432" s="60"/>
      <c r="H432" s="60"/>
      <c r="O432" s="61"/>
      <c r="X432" s="61"/>
      <c r="AB432" s="10"/>
    </row>
    <row r="433" ht="15.75" customHeight="1">
      <c r="B433" s="5"/>
      <c r="F433" s="60"/>
      <c r="G433" s="60"/>
      <c r="H433" s="60"/>
      <c r="O433" s="61"/>
      <c r="X433" s="61"/>
      <c r="AB433" s="10"/>
    </row>
    <row r="434" ht="15.75" customHeight="1">
      <c r="B434" s="5"/>
      <c r="F434" s="60"/>
      <c r="G434" s="60"/>
      <c r="H434" s="60"/>
      <c r="O434" s="61"/>
      <c r="X434" s="61"/>
      <c r="AB434" s="10"/>
    </row>
    <row r="435" ht="15.75" customHeight="1">
      <c r="B435" s="5"/>
      <c r="F435" s="60"/>
      <c r="G435" s="60"/>
      <c r="H435" s="60"/>
      <c r="O435" s="61"/>
      <c r="X435" s="61"/>
      <c r="AB435" s="10"/>
    </row>
    <row r="436" ht="15.75" customHeight="1">
      <c r="B436" s="5"/>
      <c r="F436" s="60"/>
      <c r="G436" s="60"/>
      <c r="H436" s="60"/>
      <c r="O436" s="61"/>
      <c r="X436" s="61"/>
      <c r="AB436" s="10"/>
    </row>
    <row r="437" ht="15.75" customHeight="1">
      <c r="B437" s="5"/>
      <c r="F437" s="60"/>
      <c r="G437" s="60"/>
      <c r="H437" s="60"/>
      <c r="O437" s="61"/>
      <c r="X437" s="61"/>
      <c r="AB437" s="10"/>
    </row>
    <row r="438" ht="15.75" customHeight="1">
      <c r="B438" s="5"/>
      <c r="F438" s="60"/>
      <c r="G438" s="60"/>
      <c r="H438" s="60"/>
      <c r="O438" s="61"/>
      <c r="X438" s="61"/>
      <c r="AB438" s="10"/>
    </row>
    <row r="439" ht="15.75" customHeight="1">
      <c r="B439" s="5"/>
      <c r="F439" s="60"/>
      <c r="G439" s="60"/>
      <c r="H439" s="60"/>
      <c r="O439" s="61"/>
      <c r="X439" s="61"/>
      <c r="AB439" s="10"/>
    </row>
    <row r="440" ht="15.75" customHeight="1">
      <c r="B440" s="5"/>
      <c r="F440" s="60"/>
      <c r="G440" s="60"/>
      <c r="H440" s="60"/>
      <c r="O440" s="61"/>
      <c r="X440" s="61"/>
      <c r="AB440" s="10"/>
    </row>
    <row r="441" ht="15.75" customHeight="1">
      <c r="B441" s="5"/>
      <c r="F441" s="60"/>
      <c r="G441" s="60"/>
      <c r="H441" s="60"/>
      <c r="O441" s="61"/>
      <c r="X441" s="61"/>
      <c r="AB441" s="10"/>
    </row>
    <row r="442" ht="15.75" customHeight="1">
      <c r="B442" s="5"/>
      <c r="F442" s="60"/>
      <c r="G442" s="60"/>
      <c r="H442" s="60"/>
      <c r="O442" s="61"/>
      <c r="X442" s="61"/>
      <c r="AB442" s="10"/>
    </row>
    <row r="443" ht="15.75" customHeight="1">
      <c r="B443" s="5"/>
      <c r="F443" s="60"/>
      <c r="G443" s="60"/>
      <c r="H443" s="60"/>
      <c r="O443" s="61"/>
      <c r="X443" s="61"/>
      <c r="AB443" s="10"/>
    </row>
    <row r="444" ht="15.75" customHeight="1">
      <c r="B444" s="5"/>
      <c r="F444" s="60"/>
      <c r="G444" s="60"/>
      <c r="H444" s="60"/>
      <c r="O444" s="61"/>
      <c r="X444" s="61"/>
      <c r="AB444" s="10"/>
    </row>
    <row r="445" ht="15.75" customHeight="1">
      <c r="B445" s="5"/>
      <c r="F445" s="60"/>
      <c r="G445" s="60"/>
      <c r="H445" s="60"/>
      <c r="O445" s="61"/>
      <c r="X445" s="61"/>
      <c r="AB445" s="10"/>
    </row>
    <row r="446" ht="15.75" customHeight="1">
      <c r="B446" s="5"/>
      <c r="F446" s="60"/>
      <c r="G446" s="60"/>
      <c r="H446" s="60"/>
      <c r="O446" s="61"/>
      <c r="X446" s="61"/>
      <c r="AB446" s="10"/>
    </row>
    <row r="447" ht="15.75" customHeight="1">
      <c r="B447" s="5"/>
      <c r="F447" s="60"/>
      <c r="G447" s="60"/>
      <c r="H447" s="60"/>
      <c r="O447" s="61"/>
      <c r="X447" s="61"/>
      <c r="AB447" s="10"/>
    </row>
    <row r="448" ht="15.75" customHeight="1">
      <c r="B448" s="5"/>
      <c r="F448" s="60"/>
      <c r="G448" s="60"/>
      <c r="H448" s="60"/>
      <c r="O448" s="61"/>
      <c r="X448" s="61"/>
      <c r="AB448" s="10"/>
    </row>
    <row r="449" ht="15.75" customHeight="1">
      <c r="B449" s="5"/>
      <c r="F449" s="60"/>
      <c r="G449" s="60"/>
      <c r="H449" s="60"/>
      <c r="O449" s="61"/>
      <c r="X449" s="61"/>
      <c r="AB449" s="10"/>
    </row>
    <row r="450" ht="15.75" customHeight="1">
      <c r="B450" s="5"/>
      <c r="F450" s="60"/>
      <c r="G450" s="60"/>
      <c r="H450" s="60"/>
      <c r="O450" s="61"/>
      <c r="X450" s="61"/>
      <c r="AB450" s="10"/>
    </row>
    <row r="451" ht="15.75" customHeight="1">
      <c r="B451" s="5"/>
      <c r="F451" s="60"/>
      <c r="G451" s="60"/>
      <c r="H451" s="60"/>
      <c r="O451" s="61"/>
      <c r="X451" s="61"/>
      <c r="AB451" s="10"/>
    </row>
    <row r="452" ht="15.75" customHeight="1">
      <c r="B452" s="5"/>
      <c r="F452" s="60"/>
      <c r="G452" s="60"/>
      <c r="H452" s="60"/>
      <c r="O452" s="61"/>
      <c r="X452" s="61"/>
      <c r="AB452" s="10"/>
    </row>
    <row r="453" ht="15.75" customHeight="1">
      <c r="B453" s="5"/>
      <c r="F453" s="60"/>
      <c r="G453" s="60"/>
      <c r="H453" s="60"/>
      <c r="O453" s="61"/>
      <c r="X453" s="61"/>
      <c r="AB453" s="10"/>
    </row>
    <row r="454" ht="15.75" customHeight="1">
      <c r="B454" s="5"/>
      <c r="F454" s="60"/>
      <c r="G454" s="60"/>
      <c r="H454" s="60"/>
      <c r="O454" s="61"/>
      <c r="X454" s="61"/>
      <c r="AB454" s="10"/>
    </row>
    <row r="455" ht="15.75" customHeight="1">
      <c r="B455" s="5"/>
      <c r="F455" s="60"/>
      <c r="G455" s="60"/>
      <c r="H455" s="60"/>
      <c r="O455" s="61"/>
      <c r="X455" s="61"/>
      <c r="AB455" s="10"/>
    </row>
    <row r="456" ht="15.75" customHeight="1">
      <c r="B456" s="5"/>
      <c r="F456" s="60"/>
      <c r="G456" s="60"/>
      <c r="H456" s="60"/>
      <c r="O456" s="61"/>
      <c r="X456" s="61"/>
      <c r="AB456" s="10"/>
    </row>
    <row r="457" ht="15.75" customHeight="1">
      <c r="B457" s="5"/>
      <c r="F457" s="60"/>
      <c r="G457" s="60"/>
      <c r="H457" s="60"/>
      <c r="O457" s="61"/>
      <c r="X457" s="61"/>
      <c r="AB457" s="10"/>
    </row>
    <row r="458" ht="15.75" customHeight="1">
      <c r="B458" s="5"/>
      <c r="F458" s="60"/>
      <c r="G458" s="60"/>
      <c r="H458" s="60"/>
      <c r="O458" s="61"/>
      <c r="X458" s="61"/>
      <c r="AB458" s="10"/>
    </row>
    <row r="459" ht="15.75" customHeight="1">
      <c r="B459" s="5"/>
      <c r="F459" s="60"/>
      <c r="G459" s="60"/>
      <c r="H459" s="60"/>
      <c r="O459" s="61"/>
      <c r="X459" s="61"/>
      <c r="AB459" s="10"/>
    </row>
    <row r="460" ht="15.75" customHeight="1">
      <c r="B460" s="5"/>
      <c r="F460" s="60"/>
      <c r="G460" s="60"/>
      <c r="H460" s="60"/>
      <c r="O460" s="61"/>
      <c r="X460" s="61"/>
      <c r="AB460" s="10"/>
    </row>
    <row r="461" ht="15.75" customHeight="1">
      <c r="B461" s="5"/>
      <c r="F461" s="60"/>
      <c r="G461" s="60"/>
      <c r="H461" s="60"/>
      <c r="O461" s="61"/>
      <c r="X461" s="61"/>
      <c r="AB461" s="10"/>
    </row>
    <row r="462" ht="15.75" customHeight="1">
      <c r="B462" s="5"/>
      <c r="F462" s="60"/>
      <c r="G462" s="60"/>
      <c r="H462" s="60"/>
      <c r="O462" s="61"/>
      <c r="X462" s="61"/>
      <c r="AB462" s="10"/>
    </row>
    <row r="463" ht="15.75" customHeight="1">
      <c r="B463" s="5"/>
      <c r="F463" s="60"/>
      <c r="G463" s="60"/>
      <c r="H463" s="60"/>
      <c r="O463" s="61"/>
      <c r="X463" s="61"/>
      <c r="AB463" s="10"/>
    </row>
    <row r="464" ht="15.75" customHeight="1">
      <c r="B464" s="5"/>
      <c r="F464" s="60"/>
      <c r="G464" s="60"/>
      <c r="H464" s="60"/>
      <c r="O464" s="61"/>
      <c r="X464" s="61"/>
      <c r="AB464" s="10"/>
    </row>
    <row r="465" ht="15.75" customHeight="1">
      <c r="B465" s="5"/>
      <c r="F465" s="60"/>
      <c r="G465" s="60"/>
      <c r="H465" s="60"/>
      <c r="O465" s="61"/>
      <c r="X465" s="61"/>
      <c r="AB465" s="10"/>
    </row>
    <row r="466" ht="15.75" customHeight="1">
      <c r="B466" s="5"/>
      <c r="F466" s="60"/>
      <c r="G466" s="60"/>
      <c r="H466" s="60"/>
      <c r="O466" s="61"/>
      <c r="X466" s="61"/>
      <c r="AB466" s="10"/>
    </row>
    <row r="467" ht="15.75" customHeight="1">
      <c r="B467" s="5"/>
      <c r="F467" s="60"/>
      <c r="G467" s="60"/>
      <c r="H467" s="60"/>
      <c r="O467" s="61"/>
      <c r="X467" s="61"/>
      <c r="AB467" s="10"/>
    </row>
    <row r="468" ht="15.75" customHeight="1">
      <c r="B468" s="5"/>
      <c r="F468" s="60"/>
      <c r="G468" s="60"/>
      <c r="H468" s="60"/>
      <c r="O468" s="61"/>
      <c r="X468" s="61"/>
      <c r="AB468" s="10"/>
    </row>
    <row r="469" ht="15.75" customHeight="1">
      <c r="B469" s="5"/>
      <c r="F469" s="60"/>
      <c r="G469" s="60"/>
      <c r="H469" s="60"/>
      <c r="O469" s="61"/>
      <c r="X469" s="61"/>
      <c r="AB469" s="10"/>
    </row>
    <row r="470" ht="15.75" customHeight="1">
      <c r="B470" s="5"/>
      <c r="F470" s="60"/>
      <c r="G470" s="60"/>
      <c r="H470" s="60"/>
      <c r="O470" s="61"/>
      <c r="X470" s="61"/>
      <c r="AB470" s="10"/>
    </row>
    <row r="471" ht="15.75" customHeight="1">
      <c r="B471" s="5"/>
      <c r="F471" s="60"/>
      <c r="G471" s="60"/>
      <c r="H471" s="60"/>
      <c r="O471" s="61"/>
      <c r="X471" s="61"/>
      <c r="AB471" s="10"/>
    </row>
    <row r="472" ht="15.75" customHeight="1">
      <c r="B472" s="5"/>
      <c r="F472" s="60"/>
      <c r="G472" s="60"/>
      <c r="H472" s="60"/>
      <c r="O472" s="61"/>
      <c r="X472" s="61"/>
      <c r="AB472" s="10"/>
    </row>
    <row r="473" ht="15.75" customHeight="1">
      <c r="B473" s="5"/>
      <c r="F473" s="60"/>
      <c r="G473" s="60"/>
      <c r="H473" s="60"/>
      <c r="O473" s="61"/>
      <c r="X473" s="61"/>
      <c r="AB473" s="10"/>
    </row>
    <row r="474" ht="15.75" customHeight="1">
      <c r="B474" s="5"/>
      <c r="F474" s="60"/>
      <c r="G474" s="60"/>
      <c r="H474" s="60"/>
      <c r="O474" s="61"/>
      <c r="X474" s="61"/>
      <c r="AB474" s="10"/>
    </row>
    <row r="475" ht="15.75" customHeight="1">
      <c r="B475" s="5"/>
      <c r="F475" s="60"/>
      <c r="G475" s="60"/>
      <c r="H475" s="60"/>
      <c r="O475" s="61"/>
      <c r="X475" s="61"/>
      <c r="AB475" s="10"/>
    </row>
    <row r="476" ht="15.75" customHeight="1">
      <c r="B476" s="5"/>
      <c r="F476" s="60"/>
      <c r="G476" s="60"/>
      <c r="H476" s="60"/>
      <c r="O476" s="61"/>
      <c r="X476" s="61"/>
      <c r="AB476" s="10"/>
    </row>
    <row r="477" ht="15.75" customHeight="1">
      <c r="B477" s="5"/>
      <c r="F477" s="60"/>
      <c r="G477" s="60"/>
      <c r="H477" s="60"/>
      <c r="O477" s="61"/>
      <c r="X477" s="61"/>
      <c r="AB477" s="10"/>
    </row>
    <row r="478" ht="15.75" customHeight="1">
      <c r="B478" s="5"/>
      <c r="F478" s="60"/>
      <c r="G478" s="60"/>
      <c r="H478" s="60"/>
      <c r="O478" s="61"/>
      <c r="X478" s="61"/>
      <c r="AB478" s="10"/>
    </row>
    <row r="479" ht="15.75" customHeight="1">
      <c r="B479" s="5"/>
      <c r="F479" s="60"/>
      <c r="G479" s="60"/>
      <c r="H479" s="60"/>
      <c r="O479" s="61"/>
      <c r="X479" s="61"/>
      <c r="AB479" s="10"/>
    </row>
    <row r="480" ht="15.75" customHeight="1">
      <c r="B480" s="5"/>
      <c r="F480" s="60"/>
      <c r="G480" s="60"/>
      <c r="H480" s="60"/>
      <c r="O480" s="61"/>
      <c r="X480" s="61"/>
      <c r="AB480" s="10"/>
    </row>
    <row r="481" ht="15.75" customHeight="1">
      <c r="B481" s="5"/>
      <c r="F481" s="60"/>
      <c r="G481" s="60"/>
      <c r="H481" s="60"/>
      <c r="O481" s="61"/>
      <c r="X481" s="61"/>
      <c r="AB481" s="10"/>
    </row>
    <row r="482" ht="15.75" customHeight="1">
      <c r="B482" s="5"/>
      <c r="F482" s="60"/>
      <c r="G482" s="60"/>
      <c r="H482" s="60"/>
      <c r="O482" s="61"/>
      <c r="X482" s="61"/>
      <c r="AB482" s="10"/>
    </row>
    <row r="483" ht="15.75" customHeight="1">
      <c r="B483" s="5"/>
      <c r="F483" s="60"/>
      <c r="G483" s="60"/>
      <c r="H483" s="60"/>
      <c r="O483" s="61"/>
      <c r="X483" s="61"/>
      <c r="AB483" s="10"/>
    </row>
    <row r="484" ht="15.75" customHeight="1">
      <c r="B484" s="5"/>
      <c r="F484" s="60"/>
      <c r="G484" s="60"/>
      <c r="H484" s="60"/>
      <c r="O484" s="61"/>
      <c r="X484" s="61"/>
      <c r="AB484" s="10"/>
    </row>
    <row r="485" ht="15.75" customHeight="1">
      <c r="B485" s="5"/>
      <c r="F485" s="60"/>
      <c r="G485" s="60"/>
      <c r="H485" s="60"/>
      <c r="O485" s="61"/>
      <c r="X485" s="61"/>
      <c r="AB485" s="10"/>
    </row>
    <row r="486" ht="15.75" customHeight="1">
      <c r="B486" s="5"/>
      <c r="F486" s="60"/>
      <c r="G486" s="60"/>
      <c r="H486" s="60"/>
      <c r="O486" s="61"/>
      <c r="X486" s="61"/>
      <c r="AB486" s="10"/>
    </row>
    <row r="487" ht="15.75" customHeight="1">
      <c r="B487" s="5"/>
      <c r="F487" s="60"/>
      <c r="G487" s="60"/>
      <c r="H487" s="60"/>
      <c r="O487" s="61"/>
      <c r="X487" s="61"/>
      <c r="AB487" s="10"/>
    </row>
    <row r="488" ht="15.75" customHeight="1">
      <c r="B488" s="5"/>
      <c r="F488" s="60"/>
      <c r="G488" s="60"/>
      <c r="H488" s="60"/>
      <c r="O488" s="61"/>
      <c r="X488" s="61"/>
      <c r="AB488" s="10"/>
    </row>
    <row r="489" ht="15.75" customHeight="1">
      <c r="B489" s="5"/>
      <c r="F489" s="60"/>
      <c r="G489" s="60"/>
      <c r="H489" s="60"/>
      <c r="O489" s="61"/>
      <c r="X489" s="61"/>
      <c r="AB489" s="10"/>
    </row>
    <row r="490" ht="15.75" customHeight="1">
      <c r="B490" s="5"/>
      <c r="F490" s="60"/>
      <c r="G490" s="60"/>
      <c r="H490" s="60"/>
      <c r="O490" s="61"/>
      <c r="X490" s="61"/>
      <c r="AB490" s="10"/>
    </row>
    <row r="491" ht="15.75" customHeight="1">
      <c r="B491" s="5"/>
      <c r="F491" s="60"/>
      <c r="G491" s="60"/>
      <c r="H491" s="60"/>
      <c r="O491" s="61"/>
      <c r="X491" s="61"/>
      <c r="AB491" s="10"/>
    </row>
    <row r="492" ht="15.75" customHeight="1">
      <c r="B492" s="5"/>
      <c r="F492" s="60"/>
      <c r="G492" s="60"/>
      <c r="H492" s="60"/>
      <c r="O492" s="61"/>
      <c r="X492" s="61"/>
      <c r="AB492" s="10"/>
    </row>
    <row r="493" ht="15.75" customHeight="1">
      <c r="B493" s="5"/>
      <c r="F493" s="60"/>
      <c r="G493" s="60"/>
      <c r="H493" s="60"/>
      <c r="O493" s="61"/>
      <c r="X493" s="61"/>
      <c r="AB493" s="10"/>
    </row>
    <row r="494" ht="15.75" customHeight="1">
      <c r="B494" s="5"/>
      <c r="F494" s="60"/>
      <c r="G494" s="60"/>
      <c r="H494" s="60"/>
      <c r="O494" s="61"/>
      <c r="X494" s="61"/>
      <c r="AB494" s="10"/>
    </row>
    <row r="495" ht="15.75" customHeight="1">
      <c r="B495" s="5"/>
      <c r="F495" s="60"/>
      <c r="G495" s="60"/>
      <c r="H495" s="60"/>
      <c r="O495" s="61"/>
      <c r="X495" s="61"/>
      <c r="AB495" s="10"/>
    </row>
    <row r="496" ht="15.75" customHeight="1">
      <c r="B496" s="5"/>
      <c r="F496" s="60"/>
      <c r="G496" s="60"/>
      <c r="H496" s="60"/>
      <c r="O496" s="61"/>
      <c r="X496" s="61"/>
      <c r="AB496" s="10"/>
    </row>
    <row r="497" ht="15.75" customHeight="1">
      <c r="B497" s="5"/>
      <c r="F497" s="60"/>
      <c r="G497" s="60"/>
      <c r="H497" s="60"/>
      <c r="O497" s="61"/>
      <c r="X497" s="61"/>
      <c r="AB497" s="10"/>
    </row>
    <row r="498" ht="15.75" customHeight="1">
      <c r="B498" s="5"/>
      <c r="F498" s="60"/>
      <c r="G498" s="60"/>
      <c r="H498" s="60"/>
      <c r="O498" s="61"/>
      <c r="X498" s="61"/>
      <c r="AB498" s="10"/>
    </row>
    <row r="499" ht="15.75" customHeight="1">
      <c r="B499" s="5"/>
      <c r="F499" s="60"/>
      <c r="G499" s="60"/>
      <c r="H499" s="60"/>
      <c r="O499" s="61"/>
      <c r="X499" s="61"/>
      <c r="AB499" s="10"/>
    </row>
    <row r="500" ht="15.75" customHeight="1">
      <c r="B500" s="5"/>
      <c r="F500" s="60"/>
      <c r="G500" s="60"/>
      <c r="H500" s="60"/>
      <c r="O500" s="61"/>
      <c r="X500" s="61"/>
      <c r="AB500" s="10"/>
    </row>
    <row r="501" ht="15.75" customHeight="1">
      <c r="B501" s="5"/>
      <c r="F501" s="60"/>
      <c r="G501" s="60"/>
      <c r="H501" s="60"/>
      <c r="O501" s="61"/>
      <c r="X501" s="61"/>
      <c r="AB501" s="10"/>
    </row>
    <row r="502" ht="15.75" customHeight="1">
      <c r="B502" s="5"/>
      <c r="F502" s="60"/>
      <c r="G502" s="60"/>
      <c r="H502" s="60"/>
      <c r="O502" s="61"/>
      <c r="X502" s="61"/>
      <c r="AB502" s="10"/>
    </row>
    <row r="503" ht="15.75" customHeight="1">
      <c r="B503" s="5"/>
      <c r="F503" s="60"/>
      <c r="G503" s="60"/>
      <c r="H503" s="60"/>
      <c r="O503" s="61"/>
      <c r="X503" s="61"/>
      <c r="AB503" s="10"/>
    </row>
    <row r="504" ht="15.75" customHeight="1">
      <c r="B504" s="5"/>
      <c r="F504" s="60"/>
      <c r="G504" s="60"/>
      <c r="H504" s="60"/>
      <c r="O504" s="61"/>
      <c r="X504" s="61"/>
      <c r="AB504" s="10"/>
    </row>
    <row r="505" ht="15.75" customHeight="1">
      <c r="B505" s="5"/>
      <c r="F505" s="60"/>
      <c r="G505" s="60"/>
      <c r="H505" s="60"/>
      <c r="O505" s="61"/>
      <c r="X505" s="61"/>
      <c r="AB505" s="10"/>
    </row>
    <row r="506" ht="15.75" customHeight="1">
      <c r="B506" s="5"/>
      <c r="F506" s="60"/>
      <c r="G506" s="60"/>
      <c r="H506" s="60"/>
      <c r="O506" s="61"/>
      <c r="X506" s="61"/>
      <c r="AB506" s="10"/>
    </row>
    <row r="507" ht="15.75" customHeight="1">
      <c r="B507" s="5"/>
      <c r="F507" s="60"/>
      <c r="G507" s="60"/>
      <c r="H507" s="60"/>
      <c r="O507" s="61"/>
      <c r="X507" s="61"/>
      <c r="AB507" s="10"/>
    </row>
    <row r="508" ht="15.75" customHeight="1">
      <c r="B508" s="5"/>
      <c r="F508" s="60"/>
      <c r="G508" s="60"/>
      <c r="H508" s="60"/>
      <c r="O508" s="61"/>
      <c r="X508" s="61"/>
      <c r="AB508" s="10"/>
    </row>
    <row r="509" ht="15.75" customHeight="1">
      <c r="B509" s="5"/>
      <c r="F509" s="60"/>
      <c r="G509" s="60"/>
      <c r="H509" s="60"/>
      <c r="O509" s="61"/>
      <c r="X509" s="61"/>
      <c r="AB509" s="10"/>
    </row>
    <row r="510" ht="15.75" customHeight="1">
      <c r="B510" s="5"/>
      <c r="F510" s="60"/>
      <c r="G510" s="60"/>
      <c r="H510" s="60"/>
      <c r="O510" s="61"/>
      <c r="X510" s="61"/>
      <c r="AB510" s="10"/>
    </row>
    <row r="511" ht="15.75" customHeight="1">
      <c r="B511" s="5"/>
      <c r="F511" s="60"/>
      <c r="G511" s="60"/>
      <c r="H511" s="60"/>
      <c r="O511" s="61"/>
      <c r="X511" s="61"/>
      <c r="AB511" s="10"/>
    </row>
    <row r="512" ht="15.75" customHeight="1">
      <c r="B512" s="5"/>
      <c r="F512" s="60"/>
      <c r="G512" s="60"/>
      <c r="H512" s="60"/>
      <c r="O512" s="61"/>
      <c r="X512" s="61"/>
      <c r="AB512" s="10"/>
    </row>
    <row r="513" ht="15.75" customHeight="1">
      <c r="B513" s="5"/>
      <c r="F513" s="60"/>
      <c r="G513" s="60"/>
      <c r="H513" s="60"/>
      <c r="O513" s="61"/>
      <c r="X513" s="61"/>
      <c r="AB513" s="10"/>
    </row>
    <row r="514" ht="15.75" customHeight="1">
      <c r="B514" s="5"/>
      <c r="F514" s="60"/>
      <c r="G514" s="60"/>
      <c r="H514" s="60"/>
      <c r="O514" s="61"/>
      <c r="X514" s="61"/>
      <c r="AB514" s="10"/>
    </row>
    <row r="515" ht="15.75" customHeight="1">
      <c r="B515" s="5"/>
      <c r="F515" s="60"/>
      <c r="G515" s="60"/>
      <c r="H515" s="60"/>
      <c r="O515" s="61"/>
      <c r="X515" s="61"/>
      <c r="AB515" s="10"/>
    </row>
    <row r="516" ht="15.75" customHeight="1">
      <c r="B516" s="5"/>
      <c r="F516" s="60"/>
      <c r="G516" s="60"/>
      <c r="H516" s="60"/>
      <c r="O516" s="61"/>
      <c r="X516" s="61"/>
      <c r="AB516" s="10"/>
    </row>
    <row r="517" ht="15.75" customHeight="1">
      <c r="B517" s="5"/>
      <c r="F517" s="60"/>
      <c r="G517" s="60"/>
      <c r="H517" s="60"/>
      <c r="O517" s="61"/>
      <c r="X517" s="61"/>
      <c r="AB517" s="10"/>
    </row>
    <row r="518" ht="15.75" customHeight="1">
      <c r="B518" s="5"/>
      <c r="F518" s="60"/>
      <c r="G518" s="60"/>
      <c r="H518" s="60"/>
      <c r="O518" s="61"/>
      <c r="X518" s="61"/>
      <c r="AB518" s="10"/>
    </row>
    <row r="519" ht="15.75" customHeight="1">
      <c r="B519" s="5"/>
      <c r="F519" s="60"/>
      <c r="G519" s="60"/>
      <c r="H519" s="60"/>
      <c r="O519" s="61"/>
      <c r="X519" s="61"/>
      <c r="AB519" s="10"/>
    </row>
    <row r="520" ht="15.75" customHeight="1">
      <c r="B520" s="5"/>
      <c r="F520" s="60"/>
      <c r="G520" s="60"/>
      <c r="H520" s="60"/>
      <c r="O520" s="61"/>
      <c r="X520" s="61"/>
      <c r="AB520" s="10"/>
    </row>
    <row r="521" ht="15.75" customHeight="1">
      <c r="B521" s="5"/>
      <c r="F521" s="60"/>
      <c r="G521" s="60"/>
      <c r="H521" s="60"/>
      <c r="O521" s="61"/>
      <c r="X521" s="61"/>
      <c r="AB521" s="10"/>
    </row>
    <row r="522" ht="15.75" customHeight="1">
      <c r="B522" s="5"/>
      <c r="F522" s="60"/>
      <c r="G522" s="60"/>
      <c r="H522" s="60"/>
      <c r="O522" s="61"/>
      <c r="X522" s="61"/>
      <c r="AB522" s="10"/>
    </row>
    <row r="523" ht="15.75" customHeight="1">
      <c r="B523" s="5"/>
      <c r="F523" s="60"/>
      <c r="G523" s="60"/>
      <c r="H523" s="60"/>
      <c r="O523" s="61"/>
      <c r="X523" s="61"/>
      <c r="AB523" s="10"/>
    </row>
    <row r="524" ht="15.75" customHeight="1">
      <c r="B524" s="5"/>
      <c r="F524" s="60"/>
      <c r="G524" s="60"/>
      <c r="H524" s="60"/>
      <c r="O524" s="61"/>
      <c r="X524" s="61"/>
      <c r="AB524" s="10"/>
    </row>
    <row r="525" ht="15.75" customHeight="1">
      <c r="B525" s="5"/>
      <c r="F525" s="60"/>
      <c r="G525" s="60"/>
      <c r="H525" s="60"/>
      <c r="O525" s="61"/>
      <c r="X525" s="61"/>
      <c r="AB525" s="10"/>
    </row>
    <row r="526" ht="15.75" customHeight="1">
      <c r="B526" s="5"/>
      <c r="F526" s="60"/>
      <c r="G526" s="60"/>
      <c r="H526" s="60"/>
      <c r="O526" s="61"/>
      <c r="X526" s="61"/>
      <c r="AB526" s="10"/>
    </row>
    <row r="527" ht="15.75" customHeight="1">
      <c r="B527" s="5"/>
      <c r="F527" s="60"/>
      <c r="G527" s="60"/>
      <c r="H527" s="60"/>
      <c r="O527" s="61"/>
      <c r="X527" s="61"/>
      <c r="AB527" s="10"/>
    </row>
    <row r="528" ht="15.75" customHeight="1">
      <c r="B528" s="5"/>
      <c r="F528" s="60"/>
      <c r="G528" s="60"/>
      <c r="H528" s="60"/>
      <c r="O528" s="61"/>
      <c r="X528" s="61"/>
      <c r="AB528" s="10"/>
    </row>
    <row r="529" ht="15.75" customHeight="1">
      <c r="B529" s="5"/>
      <c r="F529" s="60"/>
      <c r="G529" s="60"/>
      <c r="H529" s="60"/>
      <c r="O529" s="61"/>
      <c r="X529" s="61"/>
      <c r="AB529" s="10"/>
    </row>
    <row r="530" ht="15.75" customHeight="1">
      <c r="B530" s="5"/>
      <c r="F530" s="60"/>
      <c r="G530" s="60"/>
      <c r="H530" s="60"/>
      <c r="O530" s="61"/>
      <c r="X530" s="61"/>
      <c r="AB530" s="10"/>
    </row>
    <row r="531" ht="15.75" customHeight="1">
      <c r="B531" s="5"/>
      <c r="F531" s="60"/>
      <c r="G531" s="60"/>
      <c r="H531" s="60"/>
      <c r="O531" s="61"/>
      <c r="X531" s="61"/>
      <c r="AB531" s="10"/>
    </row>
    <row r="532" ht="15.75" customHeight="1">
      <c r="B532" s="5"/>
      <c r="F532" s="60"/>
      <c r="G532" s="60"/>
      <c r="H532" s="60"/>
      <c r="O532" s="61"/>
      <c r="X532" s="61"/>
      <c r="AB532" s="10"/>
    </row>
    <row r="533" ht="15.75" customHeight="1">
      <c r="B533" s="5"/>
      <c r="F533" s="60"/>
      <c r="G533" s="60"/>
      <c r="H533" s="60"/>
      <c r="O533" s="61"/>
      <c r="X533" s="61"/>
      <c r="AB533" s="10"/>
    </row>
    <row r="534" ht="15.75" customHeight="1">
      <c r="B534" s="5"/>
      <c r="F534" s="60"/>
      <c r="G534" s="60"/>
      <c r="H534" s="60"/>
      <c r="O534" s="61"/>
      <c r="X534" s="61"/>
      <c r="AB534" s="10"/>
    </row>
    <row r="535" ht="15.75" customHeight="1">
      <c r="B535" s="5"/>
      <c r="F535" s="60"/>
      <c r="G535" s="60"/>
      <c r="H535" s="60"/>
      <c r="O535" s="61"/>
      <c r="X535" s="61"/>
      <c r="AB535" s="10"/>
    </row>
    <row r="536" ht="15.75" customHeight="1">
      <c r="B536" s="5"/>
      <c r="F536" s="60"/>
      <c r="G536" s="60"/>
      <c r="H536" s="60"/>
      <c r="O536" s="61"/>
      <c r="X536" s="61"/>
      <c r="AB536" s="10"/>
    </row>
    <row r="537" ht="15.75" customHeight="1">
      <c r="B537" s="5"/>
      <c r="F537" s="60"/>
      <c r="G537" s="60"/>
      <c r="H537" s="60"/>
      <c r="O537" s="61"/>
      <c r="X537" s="61"/>
      <c r="AB537" s="10"/>
    </row>
    <row r="538" ht="15.75" customHeight="1">
      <c r="B538" s="5"/>
      <c r="F538" s="60"/>
      <c r="G538" s="60"/>
      <c r="H538" s="60"/>
      <c r="O538" s="61"/>
      <c r="X538" s="61"/>
      <c r="AB538" s="10"/>
    </row>
    <row r="539" ht="15.75" customHeight="1">
      <c r="B539" s="5"/>
      <c r="F539" s="60"/>
      <c r="G539" s="60"/>
      <c r="H539" s="60"/>
      <c r="O539" s="61"/>
      <c r="X539" s="61"/>
      <c r="AB539" s="10"/>
    </row>
    <row r="540" ht="15.75" customHeight="1">
      <c r="B540" s="5"/>
      <c r="F540" s="60"/>
      <c r="G540" s="60"/>
      <c r="H540" s="60"/>
      <c r="O540" s="61"/>
      <c r="X540" s="61"/>
      <c r="AB540" s="10"/>
    </row>
    <row r="541" ht="15.75" customHeight="1">
      <c r="B541" s="5"/>
      <c r="F541" s="60"/>
      <c r="G541" s="60"/>
      <c r="H541" s="60"/>
      <c r="O541" s="61"/>
      <c r="X541" s="61"/>
      <c r="AB541" s="10"/>
    </row>
    <row r="542" ht="15.75" customHeight="1">
      <c r="B542" s="5"/>
      <c r="F542" s="60"/>
      <c r="G542" s="60"/>
      <c r="H542" s="60"/>
      <c r="O542" s="61"/>
      <c r="X542" s="61"/>
      <c r="AB542" s="10"/>
    </row>
    <row r="543" ht="15.75" customHeight="1">
      <c r="B543" s="5"/>
      <c r="F543" s="60"/>
      <c r="G543" s="60"/>
      <c r="H543" s="60"/>
      <c r="O543" s="61"/>
      <c r="X543" s="61"/>
      <c r="AB543" s="10"/>
    </row>
    <row r="544" ht="15.75" customHeight="1">
      <c r="B544" s="5"/>
      <c r="F544" s="60"/>
      <c r="G544" s="60"/>
      <c r="H544" s="60"/>
      <c r="O544" s="61"/>
      <c r="X544" s="61"/>
      <c r="AB544" s="10"/>
    </row>
    <row r="545" ht="15.75" customHeight="1">
      <c r="B545" s="5"/>
      <c r="F545" s="60"/>
      <c r="G545" s="60"/>
      <c r="H545" s="60"/>
      <c r="O545" s="61"/>
      <c r="X545" s="61"/>
      <c r="AB545" s="10"/>
    </row>
    <row r="546" ht="15.75" customHeight="1">
      <c r="B546" s="5"/>
      <c r="F546" s="60"/>
      <c r="G546" s="60"/>
      <c r="H546" s="60"/>
      <c r="O546" s="61"/>
      <c r="X546" s="61"/>
      <c r="AB546" s="10"/>
    </row>
    <row r="547" ht="15.75" customHeight="1">
      <c r="B547" s="5"/>
      <c r="F547" s="60"/>
      <c r="G547" s="60"/>
      <c r="H547" s="60"/>
      <c r="O547" s="61"/>
      <c r="X547" s="61"/>
      <c r="AB547" s="10"/>
    </row>
    <row r="548" ht="15.75" customHeight="1">
      <c r="B548" s="5"/>
      <c r="F548" s="60"/>
      <c r="G548" s="60"/>
      <c r="H548" s="60"/>
      <c r="O548" s="61"/>
      <c r="X548" s="61"/>
      <c r="AB548" s="10"/>
    </row>
    <row r="549" ht="15.75" customHeight="1">
      <c r="B549" s="5"/>
      <c r="F549" s="60"/>
      <c r="G549" s="60"/>
      <c r="H549" s="60"/>
      <c r="O549" s="61"/>
      <c r="X549" s="61"/>
      <c r="AB549" s="10"/>
    </row>
    <row r="550" ht="15.75" customHeight="1">
      <c r="B550" s="5"/>
      <c r="F550" s="60"/>
      <c r="G550" s="60"/>
      <c r="H550" s="60"/>
      <c r="O550" s="61"/>
      <c r="X550" s="61"/>
      <c r="AB550" s="10"/>
    </row>
    <row r="551" ht="15.75" customHeight="1">
      <c r="B551" s="5"/>
      <c r="F551" s="60"/>
      <c r="G551" s="60"/>
      <c r="H551" s="60"/>
      <c r="O551" s="61"/>
      <c r="X551" s="61"/>
      <c r="AB551" s="10"/>
    </row>
    <row r="552" ht="15.75" customHeight="1">
      <c r="B552" s="5"/>
      <c r="F552" s="60"/>
      <c r="G552" s="60"/>
      <c r="H552" s="60"/>
      <c r="O552" s="61"/>
      <c r="X552" s="61"/>
      <c r="AB552" s="10"/>
    </row>
    <row r="553" ht="15.75" customHeight="1">
      <c r="B553" s="5"/>
      <c r="F553" s="60"/>
      <c r="G553" s="60"/>
      <c r="H553" s="60"/>
      <c r="O553" s="61"/>
      <c r="X553" s="61"/>
      <c r="AB553" s="10"/>
    </row>
    <row r="554" ht="15.75" customHeight="1">
      <c r="B554" s="5"/>
      <c r="F554" s="60"/>
      <c r="G554" s="60"/>
      <c r="H554" s="60"/>
      <c r="O554" s="61"/>
      <c r="X554" s="61"/>
      <c r="AB554" s="10"/>
    </row>
    <row r="555" ht="15.75" customHeight="1">
      <c r="B555" s="5"/>
      <c r="F555" s="60"/>
      <c r="G555" s="60"/>
      <c r="H555" s="60"/>
      <c r="O555" s="61"/>
      <c r="X555" s="61"/>
      <c r="AB555" s="10"/>
    </row>
    <row r="556" ht="15.75" customHeight="1">
      <c r="B556" s="5"/>
      <c r="F556" s="60"/>
      <c r="G556" s="60"/>
      <c r="H556" s="60"/>
      <c r="O556" s="61"/>
      <c r="X556" s="61"/>
      <c r="AB556" s="10"/>
    </row>
    <row r="557" ht="15.75" customHeight="1">
      <c r="B557" s="5"/>
      <c r="F557" s="60"/>
      <c r="G557" s="60"/>
      <c r="H557" s="60"/>
      <c r="O557" s="61"/>
      <c r="X557" s="61"/>
      <c r="AB557" s="10"/>
    </row>
    <row r="558" ht="15.75" customHeight="1">
      <c r="B558" s="5"/>
      <c r="F558" s="60"/>
      <c r="G558" s="60"/>
      <c r="H558" s="60"/>
      <c r="O558" s="61"/>
      <c r="X558" s="61"/>
      <c r="AB558" s="10"/>
    </row>
    <row r="559" ht="15.75" customHeight="1">
      <c r="B559" s="5"/>
      <c r="F559" s="60"/>
      <c r="G559" s="60"/>
      <c r="H559" s="60"/>
      <c r="O559" s="61"/>
      <c r="X559" s="61"/>
      <c r="AB559" s="10"/>
    </row>
    <row r="560" ht="15.75" customHeight="1">
      <c r="B560" s="5"/>
      <c r="F560" s="60"/>
      <c r="G560" s="60"/>
      <c r="H560" s="60"/>
      <c r="O560" s="61"/>
      <c r="X560" s="61"/>
      <c r="AB560" s="10"/>
    </row>
    <row r="561" ht="15.75" customHeight="1">
      <c r="B561" s="5"/>
      <c r="F561" s="60"/>
      <c r="G561" s="60"/>
      <c r="H561" s="60"/>
      <c r="O561" s="61"/>
      <c r="X561" s="61"/>
      <c r="AB561" s="10"/>
    </row>
    <row r="562" ht="15.75" customHeight="1">
      <c r="B562" s="5"/>
      <c r="F562" s="60"/>
      <c r="G562" s="60"/>
      <c r="H562" s="60"/>
      <c r="O562" s="61"/>
      <c r="X562" s="61"/>
      <c r="AB562" s="10"/>
    </row>
    <row r="563" ht="15.75" customHeight="1">
      <c r="B563" s="5"/>
      <c r="F563" s="60"/>
      <c r="G563" s="60"/>
      <c r="H563" s="60"/>
      <c r="O563" s="61"/>
      <c r="X563" s="61"/>
      <c r="AB563" s="10"/>
    </row>
    <row r="564" ht="15.75" customHeight="1">
      <c r="B564" s="5"/>
      <c r="F564" s="60"/>
      <c r="G564" s="60"/>
      <c r="H564" s="60"/>
      <c r="O564" s="61"/>
      <c r="X564" s="61"/>
      <c r="AB564" s="10"/>
    </row>
    <row r="565" ht="15.75" customHeight="1">
      <c r="B565" s="5"/>
      <c r="F565" s="60"/>
      <c r="G565" s="60"/>
      <c r="H565" s="60"/>
      <c r="O565" s="61"/>
      <c r="X565" s="61"/>
      <c r="AB565" s="10"/>
    </row>
    <row r="566" ht="15.75" customHeight="1">
      <c r="B566" s="5"/>
      <c r="F566" s="60"/>
      <c r="G566" s="60"/>
      <c r="H566" s="60"/>
      <c r="O566" s="61"/>
      <c r="X566" s="61"/>
      <c r="AB566" s="10"/>
    </row>
    <row r="567" ht="15.75" customHeight="1">
      <c r="B567" s="5"/>
      <c r="F567" s="60"/>
      <c r="G567" s="60"/>
      <c r="H567" s="60"/>
      <c r="O567" s="61"/>
      <c r="X567" s="61"/>
      <c r="AB567" s="10"/>
    </row>
    <row r="568" ht="15.75" customHeight="1">
      <c r="B568" s="5"/>
      <c r="F568" s="60"/>
      <c r="G568" s="60"/>
      <c r="H568" s="60"/>
      <c r="O568" s="61"/>
      <c r="X568" s="61"/>
      <c r="AB568" s="10"/>
    </row>
    <row r="569" ht="15.75" customHeight="1">
      <c r="B569" s="5"/>
      <c r="F569" s="60"/>
      <c r="G569" s="60"/>
      <c r="H569" s="60"/>
      <c r="O569" s="61"/>
      <c r="X569" s="61"/>
      <c r="AB569" s="10"/>
    </row>
    <row r="570" ht="15.75" customHeight="1">
      <c r="B570" s="5"/>
      <c r="F570" s="60"/>
      <c r="G570" s="60"/>
      <c r="H570" s="60"/>
      <c r="O570" s="61"/>
      <c r="X570" s="61"/>
      <c r="AB570" s="10"/>
    </row>
    <row r="571" ht="15.75" customHeight="1">
      <c r="B571" s="5"/>
      <c r="F571" s="60"/>
      <c r="G571" s="60"/>
      <c r="H571" s="60"/>
      <c r="O571" s="61"/>
      <c r="X571" s="61"/>
      <c r="AB571" s="10"/>
    </row>
    <row r="572" ht="15.75" customHeight="1">
      <c r="B572" s="5"/>
      <c r="F572" s="60"/>
      <c r="G572" s="60"/>
      <c r="H572" s="60"/>
      <c r="O572" s="61"/>
      <c r="X572" s="61"/>
      <c r="AB572" s="10"/>
    </row>
    <row r="573" ht="15.75" customHeight="1">
      <c r="B573" s="5"/>
      <c r="F573" s="60"/>
      <c r="G573" s="60"/>
      <c r="H573" s="60"/>
      <c r="O573" s="61"/>
      <c r="X573" s="61"/>
      <c r="AB573" s="10"/>
    </row>
    <row r="574" ht="15.75" customHeight="1">
      <c r="B574" s="5"/>
      <c r="F574" s="60"/>
      <c r="G574" s="60"/>
      <c r="H574" s="60"/>
      <c r="O574" s="61"/>
      <c r="X574" s="61"/>
      <c r="AB574" s="10"/>
    </row>
    <row r="575" ht="15.75" customHeight="1">
      <c r="B575" s="5"/>
      <c r="F575" s="60"/>
      <c r="G575" s="60"/>
      <c r="H575" s="60"/>
      <c r="O575" s="61"/>
      <c r="X575" s="61"/>
      <c r="AB575" s="10"/>
    </row>
    <row r="576" ht="15.75" customHeight="1">
      <c r="B576" s="5"/>
      <c r="F576" s="60"/>
      <c r="G576" s="60"/>
      <c r="H576" s="60"/>
      <c r="O576" s="61"/>
      <c r="X576" s="61"/>
      <c r="AB576" s="10"/>
    </row>
    <row r="577" ht="15.75" customHeight="1">
      <c r="B577" s="5"/>
      <c r="F577" s="60"/>
      <c r="G577" s="60"/>
      <c r="H577" s="60"/>
      <c r="O577" s="61"/>
      <c r="X577" s="61"/>
      <c r="AB577" s="10"/>
    </row>
    <row r="578" ht="15.75" customHeight="1">
      <c r="B578" s="5"/>
      <c r="F578" s="60"/>
      <c r="G578" s="60"/>
      <c r="H578" s="60"/>
      <c r="O578" s="61"/>
      <c r="X578" s="61"/>
      <c r="AB578" s="10"/>
    </row>
    <row r="579" ht="15.75" customHeight="1">
      <c r="B579" s="5"/>
      <c r="F579" s="60"/>
      <c r="G579" s="60"/>
      <c r="H579" s="60"/>
      <c r="O579" s="61"/>
      <c r="X579" s="61"/>
      <c r="AB579" s="10"/>
    </row>
    <row r="580" ht="15.75" customHeight="1">
      <c r="B580" s="5"/>
      <c r="F580" s="60"/>
      <c r="G580" s="60"/>
      <c r="H580" s="60"/>
      <c r="O580" s="61"/>
      <c r="X580" s="61"/>
      <c r="AB580" s="10"/>
    </row>
    <row r="581" ht="15.75" customHeight="1">
      <c r="B581" s="5"/>
      <c r="F581" s="60"/>
      <c r="G581" s="60"/>
      <c r="H581" s="60"/>
      <c r="O581" s="61"/>
      <c r="X581" s="61"/>
      <c r="AB581" s="10"/>
    </row>
    <row r="582" ht="15.75" customHeight="1">
      <c r="B582" s="5"/>
      <c r="F582" s="60"/>
      <c r="G582" s="60"/>
      <c r="H582" s="60"/>
      <c r="O582" s="61"/>
      <c r="X582" s="61"/>
      <c r="AB582" s="10"/>
    </row>
    <row r="583" ht="15.75" customHeight="1">
      <c r="B583" s="5"/>
      <c r="F583" s="60"/>
      <c r="G583" s="60"/>
      <c r="H583" s="60"/>
      <c r="O583" s="61"/>
      <c r="X583" s="61"/>
      <c r="AB583" s="10"/>
    </row>
    <row r="584" ht="15.75" customHeight="1">
      <c r="B584" s="5"/>
      <c r="F584" s="60"/>
      <c r="G584" s="60"/>
      <c r="H584" s="60"/>
      <c r="O584" s="61"/>
      <c r="X584" s="61"/>
      <c r="AB584" s="10"/>
    </row>
    <row r="585" ht="15.75" customHeight="1">
      <c r="B585" s="5"/>
      <c r="F585" s="60"/>
      <c r="G585" s="60"/>
      <c r="H585" s="60"/>
      <c r="O585" s="61"/>
      <c r="X585" s="61"/>
      <c r="AB585" s="10"/>
    </row>
    <row r="586" ht="15.75" customHeight="1">
      <c r="B586" s="5"/>
      <c r="F586" s="60"/>
      <c r="G586" s="60"/>
      <c r="H586" s="60"/>
      <c r="O586" s="61"/>
      <c r="X586" s="61"/>
      <c r="AB586" s="10"/>
    </row>
    <row r="587" ht="15.75" customHeight="1">
      <c r="B587" s="5"/>
      <c r="F587" s="60"/>
      <c r="G587" s="60"/>
      <c r="H587" s="60"/>
      <c r="O587" s="61"/>
      <c r="X587" s="61"/>
      <c r="AB587" s="10"/>
    </row>
    <row r="588" ht="15.75" customHeight="1">
      <c r="B588" s="5"/>
      <c r="F588" s="60"/>
      <c r="G588" s="60"/>
      <c r="H588" s="60"/>
      <c r="O588" s="61"/>
      <c r="X588" s="61"/>
      <c r="AB588" s="10"/>
    </row>
    <row r="589" ht="15.75" customHeight="1">
      <c r="B589" s="5"/>
      <c r="F589" s="60"/>
      <c r="G589" s="60"/>
      <c r="H589" s="60"/>
      <c r="O589" s="61"/>
      <c r="X589" s="61"/>
      <c r="AB589" s="10"/>
    </row>
    <row r="590" ht="15.75" customHeight="1">
      <c r="B590" s="5"/>
      <c r="F590" s="60"/>
      <c r="G590" s="60"/>
      <c r="H590" s="60"/>
      <c r="O590" s="61"/>
      <c r="X590" s="61"/>
      <c r="AB590" s="10"/>
    </row>
    <row r="591" ht="15.75" customHeight="1">
      <c r="B591" s="5"/>
      <c r="F591" s="60"/>
      <c r="G591" s="60"/>
      <c r="H591" s="60"/>
      <c r="O591" s="61"/>
      <c r="X591" s="61"/>
      <c r="AB591" s="10"/>
    </row>
    <row r="592" ht="15.75" customHeight="1">
      <c r="B592" s="5"/>
      <c r="F592" s="60"/>
      <c r="G592" s="60"/>
      <c r="H592" s="60"/>
      <c r="O592" s="61"/>
      <c r="X592" s="61"/>
      <c r="AB592" s="10"/>
    </row>
    <row r="593" ht="15.75" customHeight="1">
      <c r="B593" s="5"/>
      <c r="F593" s="60"/>
      <c r="G593" s="60"/>
      <c r="H593" s="60"/>
      <c r="O593" s="61"/>
      <c r="X593" s="61"/>
      <c r="AB593" s="10"/>
    </row>
    <row r="594" ht="15.75" customHeight="1">
      <c r="B594" s="5"/>
      <c r="F594" s="60"/>
      <c r="G594" s="60"/>
      <c r="H594" s="60"/>
      <c r="O594" s="61"/>
      <c r="X594" s="61"/>
      <c r="AB594" s="10"/>
    </row>
    <row r="595" ht="15.75" customHeight="1">
      <c r="B595" s="5"/>
      <c r="F595" s="60"/>
      <c r="G595" s="60"/>
      <c r="H595" s="60"/>
      <c r="O595" s="61"/>
      <c r="X595" s="61"/>
      <c r="AB595" s="10"/>
    </row>
    <row r="596" ht="15.75" customHeight="1">
      <c r="B596" s="5"/>
      <c r="F596" s="60"/>
      <c r="G596" s="60"/>
      <c r="H596" s="60"/>
      <c r="O596" s="61"/>
      <c r="X596" s="61"/>
      <c r="AB596" s="10"/>
    </row>
    <row r="597" ht="15.75" customHeight="1">
      <c r="B597" s="5"/>
      <c r="F597" s="60"/>
      <c r="G597" s="60"/>
      <c r="H597" s="60"/>
      <c r="O597" s="61"/>
      <c r="X597" s="61"/>
      <c r="AB597" s="10"/>
    </row>
    <row r="598" ht="15.75" customHeight="1">
      <c r="B598" s="5"/>
      <c r="F598" s="60"/>
      <c r="G598" s="60"/>
      <c r="H598" s="60"/>
      <c r="O598" s="61"/>
      <c r="X598" s="61"/>
      <c r="AB598" s="10"/>
    </row>
    <row r="599" ht="15.75" customHeight="1">
      <c r="B599" s="5"/>
      <c r="F599" s="60"/>
      <c r="G599" s="60"/>
      <c r="H599" s="60"/>
      <c r="O599" s="61"/>
      <c r="X599" s="61"/>
      <c r="AB599" s="10"/>
    </row>
    <row r="600" ht="15.75" customHeight="1">
      <c r="B600" s="5"/>
      <c r="F600" s="60"/>
      <c r="G600" s="60"/>
      <c r="H600" s="60"/>
      <c r="O600" s="61"/>
      <c r="X600" s="61"/>
      <c r="AB600" s="10"/>
    </row>
    <row r="601" ht="15.75" customHeight="1">
      <c r="B601" s="5"/>
      <c r="F601" s="60"/>
      <c r="G601" s="60"/>
      <c r="H601" s="60"/>
      <c r="O601" s="61"/>
      <c r="X601" s="61"/>
      <c r="AB601" s="10"/>
    </row>
    <row r="602" ht="15.75" customHeight="1">
      <c r="B602" s="5"/>
      <c r="F602" s="60"/>
      <c r="G602" s="60"/>
      <c r="H602" s="60"/>
      <c r="O602" s="61"/>
      <c r="X602" s="61"/>
      <c r="AB602" s="10"/>
    </row>
    <row r="603" ht="15.75" customHeight="1">
      <c r="B603" s="5"/>
      <c r="F603" s="60"/>
      <c r="G603" s="60"/>
      <c r="H603" s="60"/>
      <c r="O603" s="61"/>
      <c r="X603" s="61"/>
      <c r="AB603" s="10"/>
    </row>
    <row r="604" ht="15.75" customHeight="1">
      <c r="B604" s="5"/>
      <c r="F604" s="60"/>
      <c r="G604" s="60"/>
      <c r="H604" s="60"/>
      <c r="O604" s="61"/>
      <c r="X604" s="61"/>
      <c r="AB604" s="10"/>
    </row>
    <row r="605" ht="15.75" customHeight="1">
      <c r="B605" s="5"/>
      <c r="F605" s="60"/>
      <c r="G605" s="60"/>
      <c r="H605" s="60"/>
      <c r="O605" s="61"/>
      <c r="X605" s="61"/>
      <c r="AB605" s="10"/>
    </row>
    <row r="606" ht="15.75" customHeight="1">
      <c r="B606" s="5"/>
      <c r="F606" s="60"/>
      <c r="G606" s="60"/>
      <c r="H606" s="60"/>
      <c r="O606" s="61"/>
      <c r="X606" s="61"/>
      <c r="AB606" s="10"/>
    </row>
    <row r="607" ht="15.75" customHeight="1">
      <c r="B607" s="5"/>
      <c r="F607" s="60"/>
      <c r="G607" s="60"/>
      <c r="H607" s="60"/>
      <c r="O607" s="61"/>
      <c r="X607" s="61"/>
      <c r="AB607" s="10"/>
    </row>
    <row r="608" ht="15.75" customHeight="1">
      <c r="B608" s="5"/>
      <c r="F608" s="60"/>
      <c r="G608" s="60"/>
      <c r="H608" s="60"/>
      <c r="O608" s="61"/>
      <c r="X608" s="61"/>
      <c r="AB608" s="10"/>
    </row>
    <row r="609" ht="15.75" customHeight="1">
      <c r="B609" s="5"/>
      <c r="F609" s="60"/>
      <c r="G609" s="60"/>
      <c r="H609" s="60"/>
      <c r="O609" s="61"/>
      <c r="X609" s="61"/>
      <c r="AB609" s="10"/>
    </row>
    <row r="610" ht="15.75" customHeight="1">
      <c r="B610" s="5"/>
      <c r="F610" s="60"/>
      <c r="G610" s="60"/>
      <c r="H610" s="60"/>
      <c r="O610" s="61"/>
      <c r="X610" s="61"/>
      <c r="AB610" s="10"/>
    </row>
    <row r="611" ht="15.75" customHeight="1">
      <c r="B611" s="5"/>
      <c r="F611" s="60"/>
      <c r="G611" s="60"/>
      <c r="H611" s="60"/>
      <c r="O611" s="61"/>
      <c r="X611" s="61"/>
      <c r="AB611" s="10"/>
    </row>
    <row r="612" ht="15.75" customHeight="1">
      <c r="B612" s="5"/>
      <c r="F612" s="60"/>
      <c r="G612" s="60"/>
      <c r="H612" s="60"/>
      <c r="O612" s="61"/>
      <c r="X612" s="61"/>
      <c r="AB612" s="10"/>
    </row>
    <row r="613" ht="15.75" customHeight="1">
      <c r="B613" s="5"/>
      <c r="F613" s="60"/>
      <c r="G613" s="60"/>
      <c r="H613" s="60"/>
      <c r="O613" s="61"/>
      <c r="X613" s="61"/>
      <c r="AB613" s="10"/>
    </row>
    <row r="614" ht="15.75" customHeight="1">
      <c r="B614" s="5"/>
      <c r="F614" s="60"/>
      <c r="G614" s="60"/>
      <c r="H614" s="60"/>
      <c r="O614" s="61"/>
      <c r="X614" s="61"/>
      <c r="AB614" s="10"/>
    </row>
    <row r="615" ht="15.75" customHeight="1">
      <c r="B615" s="5"/>
      <c r="F615" s="60"/>
      <c r="G615" s="60"/>
      <c r="H615" s="60"/>
      <c r="O615" s="61"/>
      <c r="X615" s="61"/>
      <c r="AB615" s="10"/>
    </row>
    <row r="616" ht="15.75" customHeight="1">
      <c r="B616" s="5"/>
      <c r="F616" s="60"/>
      <c r="G616" s="60"/>
      <c r="H616" s="60"/>
      <c r="O616" s="61"/>
      <c r="X616" s="61"/>
      <c r="AB616" s="10"/>
    </row>
    <row r="617" ht="15.75" customHeight="1">
      <c r="B617" s="5"/>
      <c r="F617" s="60"/>
      <c r="G617" s="60"/>
      <c r="H617" s="60"/>
      <c r="O617" s="61"/>
      <c r="X617" s="61"/>
      <c r="AB617" s="10"/>
    </row>
    <row r="618" ht="15.75" customHeight="1">
      <c r="B618" s="5"/>
      <c r="F618" s="60"/>
      <c r="G618" s="60"/>
      <c r="H618" s="60"/>
      <c r="O618" s="61"/>
      <c r="X618" s="61"/>
      <c r="AB618" s="10"/>
    </row>
    <row r="619" ht="15.75" customHeight="1">
      <c r="B619" s="5"/>
      <c r="F619" s="60"/>
      <c r="G619" s="60"/>
      <c r="H619" s="60"/>
      <c r="O619" s="61"/>
      <c r="X619" s="61"/>
      <c r="AB619" s="10"/>
    </row>
    <row r="620" ht="15.75" customHeight="1">
      <c r="B620" s="5"/>
      <c r="F620" s="60"/>
      <c r="G620" s="60"/>
      <c r="H620" s="60"/>
      <c r="O620" s="61"/>
      <c r="X620" s="61"/>
      <c r="AB620" s="10"/>
    </row>
    <row r="621" ht="15.75" customHeight="1">
      <c r="B621" s="5"/>
      <c r="F621" s="60"/>
      <c r="G621" s="60"/>
      <c r="H621" s="60"/>
      <c r="O621" s="61"/>
      <c r="X621" s="61"/>
      <c r="AB621" s="10"/>
    </row>
    <row r="622" ht="15.75" customHeight="1">
      <c r="B622" s="5"/>
      <c r="F622" s="60"/>
      <c r="G622" s="60"/>
      <c r="H622" s="60"/>
      <c r="O622" s="61"/>
      <c r="X622" s="61"/>
      <c r="AB622" s="10"/>
    </row>
    <row r="623" ht="15.75" customHeight="1">
      <c r="B623" s="5"/>
      <c r="F623" s="60"/>
      <c r="G623" s="60"/>
      <c r="H623" s="60"/>
      <c r="O623" s="61"/>
      <c r="X623" s="61"/>
      <c r="AB623" s="10"/>
    </row>
    <row r="624" ht="15.75" customHeight="1">
      <c r="B624" s="5"/>
      <c r="F624" s="60"/>
      <c r="G624" s="60"/>
      <c r="H624" s="60"/>
      <c r="O624" s="61"/>
      <c r="X624" s="61"/>
      <c r="AB624" s="10"/>
    </row>
    <row r="625" ht="15.75" customHeight="1">
      <c r="B625" s="5"/>
      <c r="F625" s="60"/>
      <c r="G625" s="60"/>
      <c r="H625" s="60"/>
      <c r="O625" s="61"/>
      <c r="X625" s="61"/>
      <c r="AB625" s="10"/>
    </row>
    <row r="626" ht="15.75" customHeight="1">
      <c r="B626" s="5"/>
      <c r="F626" s="60"/>
      <c r="G626" s="60"/>
      <c r="H626" s="60"/>
      <c r="O626" s="61"/>
      <c r="X626" s="61"/>
      <c r="AB626" s="10"/>
    </row>
    <row r="627" ht="15.75" customHeight="1">
      <c r="B627" s="5"/>
      <c r="F627" s="60"/>
      <c r="G627" s="60"/>
      <c r="H627" s="60"/>
      <c r="O627" s="61"/>
      <c r="X627" s="61"/>
      <c r="AB627" s="10"/>
    </row>
    <row r="628" ht="15.75" customHeight="1">
      <c r="B628" s="5"/>
      <c r="F628" s="60"/>
      <c r="G628" s="60"/>
      <c r="H628" s="60"/>
      <c r="O628" s="61"/>
      <c r="X628" s="61"/>
      <c r="AB628" s="10"/>
    </row>
    <row r="629" ht="15.75" customHeight="1">
      <c r="B629" s="5"/>
      <c r="F629" s="60"/>
      <c r="G629" s="60"/>
      <c r="H629" s="60"/>
      <c r="O629" s="61"/>
      <c r="X629" s="61"/>
      <c r="AB629" s="10"/>
    </row>
    <row r="630" ht="15.75" customHeight="1">
      <c r="B630" s="5"/>
      <c r="F630" s="60"/>
      <c r="G630" s="60"/>
      <c r="H630" s="60"/>
      <c r="O630" s="61"/>
      <c r="X630" s="61"/>
      <c r="AB630" s="10"/>
    </row>
    <row r="631" ht="15.75" customHeight="1">
      <c r="B631" s="5"/>
      <c r="F631" s="60"/>
      <c r="G631" s="60"/>
      <c r="H631" s="60"/>
      <c r="O631" s="61"/>
      <c r="X631" s="61"/>
      <c r="AB631" s="10"/>
    </row>
    <row r="632" ht="15.75" customHeight="1">
      <c r="B632" s="5"/>
      <c r="F632" s="60"/>
      <c r="G632" s="60"/>
      <c r="H632" s="60"/>
      <c r="O632" s="61"/>
      <c r="X632" s="61"/>
      <c r="AB632" s="10"/>
    </row>
    <row r="633" ht="15.75" customHeight="1">
      <c r="B633" s="5"/>
      <c r="F633" s="60"/>
      <c r="G633" s="60"/>
      <c r="H633" s="60"/>
      <c r="O633" s="61"/>
      <c r="X633" s="61"/>
      <c r="AB633" s="10"/>
    </row>
    <row r="634" ht="15.75" customHeight="1">
      <c r="B634" s="5"/>
      <c r="F634" s="60"/>
      <c r="G634" s="60"/>
      <c r="H634" s="60"/>
      <c r="O634" s="61"/>
      <c r="X634" s="61"/>
      <c r="AB634" s="10"/>
    </row>
    <row r="635" ht="15.75" customHeight="1">
      <c r="B635" s="5"/>
      <c r="F635" s="60"/>
      <c r="G635" s="60"/>
      <c r="H635" s="60"/>
      <c r="O635" s="61"/>
      <c r="X635" s="61"/>
      <c r="AB635" s="10"/>
    </row>
    <row r="636" ht="15.75" customHeight="1">
      <c r="B636" s="5"/>
      <c r="F636" s="60"/>
      <c r="G636" s="60"/>
      <c r="H636" s="60"/>
      <c r="O636" s="61"/>
      <c r="X636" s="61"/>
      <c r="AB636" s="10"/>
    </row>
    <row r="637" ht="15.75" customHeight="1">
      <c r="B637" s="5"/>
      <c r="F637" s="60"/>
      <c r="G637" s="60"/>
      <c r="H637" s="60"/>
      <c r="O637" s="61"/>
      <c r="X637" s="61"/>
      <c r="AB637" s="10"/>
    </row>
    <row r="638" ht="15.75" customHeight="1">
      <c r="B638" s="5"/>
      <c r="F638" s="60"/>
      <c r="G638" s="60"/>
      <c r="H638" s="60"/>
      <c r="O638" s="61"/>
      <c r="X638" s="61"/>
      <c r="AB638" s="10"/>
    </row>
    <row r="639" ht="15.75" customHeight="1">
      <c r="B639" s="5"/>
      <c r="F639" s="60"/>
      <c r="G639" s="60"/>
      <c r="H639" s="60"/>
      <c r="O639" s="61"/>
      <c r="X639" s="61"/>
      <c r="AB639" s="10"/>
    </row>
    <row r="640" ht="15.75" customHeight="1">
      <c r="B640" s="5"/>
      <c r="F640" s="60"/>
      <c r="G640" s="60"/>
      <c r="H640" s="60"/>
      <c r="O640" s="61"/>
      <c r="X640" s="61"/>
      <c r="AB640" s="10"/>
    </row>
    <row r="641" ht="15.75" customHeight="1">
      <c r="B641" s="5"/>
      <c r="F641" s="60"/>
      <c r="G641" s="60"/>
      <c r="H641" s="60"/>
      <c r="O641" s="61"/>
      <c r="X641" s="61"/>
      <c r="AB641" s="10"/>
    </row>
    <row r="642" ht="15.75" customHeight="1">
      <c r="B642" s="5"/>
      <c r="F642" s="60"/>
      <c r="G642" s="60"/>
      <c r="H642" s="60"/>
      <c r="O642" s="61"/>
      <c r="X642" s="61"/>
      <c r="AB642" s="10"/>
    </row>
    <row r="643" ht="15.75" customHeight="1">
      <c r="B643" s="5"/>
      <c r="F643" s="60"/>
      <c r="G643" s="60"/>
      <c r="H643" s="60"/>
      <c r="O643" s="61"/>
      <c r="X643" s="61"/>
      <c r="AB643" s="10"/>
    </row>
    <row r="644" ht="15.75" customHeight="1">
      <c r="B644" s="5"/>
      <c r="F644" s="60"/>
      <c r="G644" s="60"/>
      <c r="H644" s="60"/>
      <c r="O644" s="61"/>
      <c r="X644" s="61"/>
      <c r="AB644" s="10"/>
    </row>
    <row r="645" ht="15.75" customHeight="1">
      <c r="B645" s="5"/>
      <c r="F645" s="60"/>
      <c r="G645" s="60"/>
      <c r="H645" s="60"/>
      <c r="O645" s="61"/>
      <c r="X645" s="61"/>
      <c r="AB645" s="10"/>
    </row>
    <row r="646" ht="15.75" customHeight="1">
      <c r="B646" s="5"/>
      <c r="F646" s="60"/>
      <c r="G646" s="60"/>
      <c r="H646" s="60"/>
      <c r="O646" s="61"/>
      <c r="X646" s="61"/>
      <c r="AB646" s="10"/>
    </row>
    <row r="647" ht="15.75" customHeight="1">
      <c r="B647" s="5"/>
      <c r="F647" s="60"/>
      <c r="G647" s="60"/>
      <c r="H647" s="60"/>
      <c r="O647" s="61"/>
      <c r="X647" s="61"/>
      <c r="AB647" s="10"/>
    </row>
    <row r="648" ht="15.75" customHeight="1">
      <c r="B648" s="5"/>
      <c r="F648" s="60"/>
      <c r="G648" s="60"/>
      <c r="H648" s="60"/>
      <c r="O648" s="61"/>
      <c r="X648" s="61"/>
      <c r="AB648" s="10"/>
    </row>
    <row r="649" ht="15.75" customHeight="1">
      <c r="B649" s="5"/>
      <c r="F649" s="60"/>
      <c r="G649" s="60"/>
      <c r="H649" s="60"/>
      <c r="O649" s="61"/>
      <c r="X649" s="61"/>
      <c r="AB649" s="10"/>
    </row>
    <row r="650" ht="15.75" customHeight="1">
      <c r="B650" s="5"/>
      <c r="F650" s="60"/>
      <c r="G650" s="60"/>
      <c r="H650" s="60"/>
      <c r="O650" s="61"/>
      <c r="X650" s="61"/>
      <c r="AB650" s="10"/>
    </row>
    <row r="651" ht="15.75" customHeight="1">
      <c r="B651" s="5"/>
      <c r="F651" s="60"/>
      <c r="G651" s="60"/>
      <c r="H651" s="60"/>
      <c r="O651" s="61"/>
      <c r="X651" s="61"/>
      <c r="AB651" s="10"/>
    </row>
    <row r="652" ht="15.75" customHeight="1">
      <c r="B652" s="5"/>
      <c r="F652" s="60"/>
      <c r="G652" s="60"/>
      <c r="H652" s="60"/>
      <c r="O652" s="61"/>
      <c r="X652" s="61"/>
      <c r="AB652" s="10"/>
    </row>
    <row r="653" ht="15.75" customHeight="1">
      <c r="B653" s="5"/>
      <c r="F653" s="60"/>
      <c r="G653" s="60"/>
      <c r="H653" s="60"/>
      <c r="O653" s="61"/>
      <c r="X653" s="61"/>
      <c r="AB653" s="10"/>
    </row>
    <row r="654" ht="15.75" customHeight="1">
      <c r="B654" s="5"/>
      <c r="F654" s="60"/>
      <c r="G654" s="60"/>
      <c r="H654" s="60"/>
      <c r="O654" s="61"/>
      <c r="X654" s="61"/>
      <c r="AB654" s="10"/>
    </row>
    <row r="655" ht="15.75" customHeight="1">
      <c r="B655" s="5"/>
      <c r="F655" s="60"/>
      <c r="G655" s="60"/>
      <c r="H655" s="60"/>
      <c r="O655" s="61"/>
      <c r="X655" s="61"/>
      <c r="AB655" s="10"/>
    </row>
    <row r="656" ht="15.75" customHeight="1">
      <c r="B656" s="5"/>
      <c r="F656" s="60"/>
      <c r="G656" s="60"/>
      <c r="H656" s="60"/>
      <c r="O656" s="61"/>
      <c r="X656" s="61"/>
      <c r="AB656" s="10"/>
    </row>
    <row r="657" ht="15.75" customHeight="1">
      <c r="B657" s="5"/>
      <c r="F657" s="60"/>
      <c r="G657" s="60"/>
      <c r="H657" s="60"/>
      <c r="O657" s="61"/>
      <c r="X657" s="61"/>
      <c r="AB657" s="10"/>
    </row>
    <row r="658" ht="15.75" customHeight="1">
      <c r="B658" s="5"/>
      <c r="F658" s="60"/>
      <c r="G658" s="60"/>
      <c r="H658" s="60"/>
      <c r="O658" s="61"/>
      <c r="X658" s="61"/>
      <c r="AB658" s="10"/>
    </row>
    <row r="659" ht="15.75" customHeight="1">
      <c r="B659" s="5"/>
      <c r="F659" s="60"/>
      <c r="G659" s="60"/>
      <c r="H659" s="60"/>
      <c r="O659" s="61"/>
      <c r="X659" s="61"/>
      <c r="AB659" s="10"/>
    </row>
    <row r="660" ht="15.75" customHeight="1">
      <c r="B660" s="5"/>
      <c r="F660" s="60"/>
      <c r="G660" s="60"/>
      <c r="H660" s="60"/>
      <c r="O660" s="61"/>
      <c r="X660" s="61"/>
      <c r="AB660" s="10"/>
    </row>
    <row r="661" ht="15.75" customHeight="1">
      <c r="B661" s="5"/>
      <c r="F661" s="60"/>
      <c r="G661" s="60"/>
      <c r="H661" s="60"/>
      <c r="O661" s="61"/>
      <c r="X661" s="61"/>
      <c r="AB661" s="10"/>
    </row>
    <row r="662" ht="15.75" customHeight="1">
      <c r="B662" s="5"/>
      <c r="F662" s="60"/>
      <c r="G662" s="60"/>
      <c r="H662" s="60"/>
      <c r="O662" s="61"/>
      <c r="X662" s="61"/>
      <c r="AB662" s="10"/>
    </row>
    <row r="663" ht="15.75" customHeight="1">
      <c r="B663" s="5"/>
      <c r="F663" s="60"/>
      <c r="G663" s="60"/>
      <c r="H663" s="60"/>
      <c r="O663" s="61"/>
      <c r="X663" s="61"/>
      <c r="AB663" s="10"/>
    </row>
    <row r="664" ht="15.75" customHeight="1">
      <c r="B664" s="5"/>
      <c r="F664" s="60"/>
      <c r="G664" s="60"/>
      <c r="H664" s="60"/>
      <c r="O664" s="61"/>
      <c r="X664" s="61"/>
      <c r="AB664" s="10"/>
    </row>
    <row r="665" ht="15.75" customHeight="1">
      <c r="B665" s="5"/>
      <c r="F665" s="60"/>
      <c r="G665" s="60"/>
      <c r="H665" s="60"/>
      <c r="O665" s="61"/>
      <c r="X665" s="61"/>
      <c r="AB665" s="10"/>
    </row>
    <row r="666" ht="15.75" customHeight="1">
      <c r="B666" s="5"/>
      <c r="F666" s="60"/>
      <c r="G666" s="60"/>
      <c r="H666" s="60"/>
      <c r="O666" s="61"/>
      <c r="X666" s="61"/>
      <c r="AB666" s="10"/>
    </row>
    <row r="667" ht="15.75" customHeight="1">
      <c r="B667" s="5"/>
      <c r="F667" s="60"/>
      <c r="G667" s="60"/>
      <c r="H667" s="60"/>
      <c r="O667" s="61"/>
      <c r="X667" s="61"/>
      <c r="AB667" s="10"/>
    </row>
    <row r="668" ht="15.75" customHeight="1">
      <c r="B668" s="5"/>
      <c r="F668" s="60"/>
      <c r="G668" s="60"/>
      <c r="H668" s="60"/>
      <c r="O668" s="61"/>
      <c r="X668" s="61"/>
      <c r="AB668" s="10"/>
    </row>
    <row r="669" ht="15.75" customHeight="1">
      <c r="B669" s="5"/>
      <c r="F669" s="60"/>
      <c r="G669" s="60"/>
      <c r="H669" s="60"/>
      <c r="O669" s="61"/>
      <c r="X669" s="61"/>
      <c r="AB669" s="10"/>
    </row>
    <row r="670" ht="15.75" customHeight="1">
      <c r="B670" s="5"/>
      <c r="F670" s="60"/>
      <c r="G670" s="60"/>
      <c r="H670" s="60"/>
      <c r="O670" s="61"/>
      <c r="X670" s="61"/>
      <c r="AB670" s="10"/>
    </row>
    <row r="671" ht="15.75" customHeight="1">
      <c r="B671" s="5"/>
      <c r="F671" s="60"/>
      <c r="G671" s="60"/>
      <c r="H671" s="60"/>
      <c r="O671" s="61"/>
      <c r="X671" s="61"/>
      <c r="AB671" s="10"/>
    </row>
    <row r="672" ht="15.75" customHeight="1">
      <c r="B672" s="5"/>
      <c r="F672" s="60"/>
      <c r="G672" s="60"/>
      <c r="H672" s="60"/>
      <c r="O672" s="61"/>
      <c r="X672" s="61"/>
      <c r="AB672" s="10"/>
    </row>
    <row r="673" ht="15.75" customHeight="1">
      <c r="B673" s="5"/>
      <c r="F673" s="60"/>
      <c r="G673" s="60"/>
      <c r="H673" s="60"/>
      <c r="O673" s="61"/>
      <c r="X673" s="61"/>
      <c r="AB673" s="10"/>
    </row>
    <row r="674" ht="15.75" customHeight="1">
      <c r="B674" s="5"/>
      <c r="F674" s="60"/>
      <c r="G674" s="60"/>
      <c r="H674" s="60"/>
      <c r="O674" s="61"/>
      <c r="X674" s="61"/>
      <c r="AB674" s="10"/>
    </row>
    <row r="675" ht="15.75" customHeight="1">
      <c r="B675" s="5"/>
      <c r="F675" s="60"/>
      <c r="G675" s="60"/>
      <c r="H675" s="60"/>
      <c r="O675" s="61"/>
      <c r="X675" s="61"/>
      <c r="AB675" s="10"/>
    </row>
    <row r="676" ht="15.75" customHeight="1">
      <c r="B676" s="5"/>
      <c r="F676" s="60"/>
      <c r="G676" s="60"/>
      <c r="H676" s="60"/>
      <c r="O676" s="61"/>
      <c r="X676" s="61"/>
      <c r="AB676" s="10"/>
    </row>
    <row r="677" ht="15.75" customHeight="1">
      <c r="B677" s="5"/>
      <c r="F677" s="60"/>
      <c r="G677" s="60"/>
      <c r="H677" s="60"/>
      <c r="O677" s="61"/>
      <c r="X677" s="61"/>
      <c r="AB677" s="10"/>
    </row>
    <row r="678" ht="15.75" customHeight="1">
      <c r="B678" s="5"/>
      <c r="F678" s="60"/>
      <c r="G678" s="60"/>
      <c r="H678" s="60"/>
      <c r="O678" s="61"/>
      <c r="X678" s="61"/>
      <c r="AB678" s="10"/>
    </row>
    <row r="679" ht="15.75" customHeight="1">
      <c r="B679" s="5"/>
      <c r="F679" s="60"/>
      <c r="G679" s="60"/>
      <c r="H679" s="60"/>
      <c r="O679" s="61"/>
      <c r="X679" s="61"/>
      <c r="AB679" s="10"/>
    </row>
    <row r="680" ht="15.75" customHeight="1">
      <c r="B680" s="5"/>
      <c r="F680" s="60"/>
      <c r="G680" s="60"/>
      <c r="H680" s="60"/>
      <c r="O680" s="61"/>
      <c r="X680" s="61"/>
      <c r="AB680" s="10"/>
    </row>
    <row r="681" ht="15.75" customHeight="1">
      <c r="B681" s="5"/>
      <c r="F681" s="60"/>
      <c r="G681" s="60"/>
      <c r="H681" s="60"/>
      <c r="O681" s="61"/>
      <c r="X681" s="61"/>
      <c r="AB681" s="10"/>
    </row>
    <row r="682" ht="15.75" customHeight="1">
      <c r="B682" s="5"/>
      <c r="F682" s="60"/>
      <c r="G682" s="60"/>
      <c r="H682" s="60"/>
      <c r="O682" s="61"/>
      <c r="X682" s="61"/>
      <c r="AB682" s="10"/>
    </row>
    <row r="683" ht="15.75" customHeight="1">
      <c r="B683" s="5"/>
      <c r="F683" s="60"/>
      <c r="G683" s="60"/>
      <c r="H683" s="60"/>
      <c r="O683" s="61"/>
      <c r="X683" s="61"/>
      <c r="AB683" s="10"/>
    </row>
    <row r="684" ht="15.75" customHeight="1">
      <c r="B684" s="5"/>
      <c r="F684" s="60"/>
      <c r="G684" s="60"/>
      <c r="H684" s="60"/>
      <c r="O684" s="61"/>
      <c r="X684" s="61"/>
      <c r="AB684" s="10"/>
    </row>
    <row r="685" ht="15.75" customHeight="1">
      <c r="B685" s="5"/>
      <c r="F685" s="60"/>
      <c r="G685" s="60"/>
      <c r="H685" s="60"/>
      <c r="O685" s="61"/>
      <c r="X685" s="61"/>
      <c r="AB685" s="10"/>
    </row>
    <row r="686" ht="15.75" customHeight="1">
      <c r="B686" s="5"/>
      <c r="F686" s="60"/>
      <c r="G686" s="60"/>
      <c r="H686" s="60"/>
      <c r="O686" s="61"/>
      <c r="X686" s="61"/>
      <c r="AB686" s="10"/>
    </row>
    <row r="687" ht="15.75" customHeight="1">
      <c r="B687" s="5"/>
      <c r="F687" s="60"/>
      <c r="G687" s="60"/>
      <c r="H687" s="60"/>
      <c r="O687" s="61"/>
      <c r="X687" s="61"/>
      <c r="AB687" s="10"/>
    </row>
    <row r="688" ht="15.75" customHeight="1">
      <c r="B688" s="5"/>
      <c r="F688" s="60"/>
      <c r="G688" s="60"/>
      <c r="H688" s="60"/>
      <c r="O688" s="61"/>
      <c r="X688" s="61"/>
      <c r="AB688" s="10"/>
    </row>
    <row r="689" ht="15.75" customHeight="1">
      <c r="B689" s="5"/>
      <c r="F689" s="60"/>
      <c r="G689" s="60"/>
      <c r="H689" s="60"/>
      <c r="O689" s="61"/>
      <c r="X689" s="61"/>
      <c r="AB689" s="10"/>
    </row>
    <row r="690" ht="15.75" customHeight="1">
      <c r="B690" s="5"/>
      <c r="F690" s="60"/>
      <c r="G690" s="60"/>
      <c r="H690" s="60"/>
      <c r="O690" s="61"/>
      <c r="X690" s="61"/>
      <c r="AB690" s="10"/>
    </row>
    <row r="691" ht="15.75" customHeight="1">
      <c r="B691" s="5"/>
      <c r="F691" s="60"/>
      <c r="G691" s="60"/>
      <c r="H691" s="60"/>
      <c r="O691" s="61"/>
      <c r="X691" s="61"/>
      <c r="AB691" s="10"/>
    </row>
    <row r="692" ht="15.75" customHeight="1">
      <c r="B692" s="5"/>
      <c r="F692" s="60"/>
      <c r="G692" s="60"/>
      <c r="H692" s="60"/>
      <c r="O692" s="61"/>
      <c r="X692" s="61"/>
      <c r="AB692" s="10"/>
    </row>
    <row r="693" ht="15.75" customHeight="1">
      <c r="B693" s="5"/>
      <c r="F693" s="60"/>
      <c r="G693" s="60"/>
      <c r="H693" s="60"/>
      <c r="O693" s="61"/>
      <c r="X693" s="61"/>
      <c r="AB693" s="10"/>
    </row>
    <row r="694" ht="15.75" customHeight="1">
      <c r="B694" s="5"/>
      <c r="F694" s="60"/>
      <c r="G694" s="60"/>
      <c r="H694" s="60"/>
      <c r="O694" s="61"/>
      <c r="X694" s="61"/>
      <c r="AB694" s="10"/>
    </row>
    <row r="695" ht="15.75" customHeight="1">
      <c r="B695" s="5"/>
      <c r="F695" s="60"/>
      <c r="G695" s="60"/>
      <c r="H695" s="60"/>
      <c r="O695" s="61"/>
      <c r="X695" s="61"/>
      <c r="AB695" s="10"/>
    </row>
    <row r="696" ht="15.75" customHeight="1">
      <c r="B696" s="5"/>
      <c r="F696" s="60"/>
      <c r="G696" s="60"/>
      <c r="H696" s="60"/>
      <c r="O696" s="61"/>
      <c r="X696" s="61"/>
      <c r="AB696" s="10"/>
    </row>
    <row r="697" ht="15.75" customHeight="1">
      <c r="B697" s="5"/>
      <c r="F697" s="60"/>
      <c r="G697" s="60"/>
      <c r="H697" s="60"/>
      <c r="O697" s="61"/>
      <c r="X697" s="61"/>
      <c r="AB697" s="10"/>
    </row>
    <row r="698" ht="15.75" customHeight="1">
      <c r="B698" s="5"/>
      <c r="F698" s="60"/>
      <c r="G698" s="60"/>
      <c r="H698" s="60"/>
      <c r="O698" s="61"/>
      <c r="X698" s="61"/>
      <c r="AB698" s="10"/>
    </row>
    <row r="699" ht="15.75" customHeight="1">
      <c r="B699" s="5"/>
      <c r="F699" s="60"/>
      <c r="G699" s="60"/>
      <c r="H699" s="60"/>
      <c r="O699" s="61"/>
      <c r="X699" s="61"/>
      <c r="AB699" s="10"/>
    </row>
    <row r="700" ht="15.75" customHeight="1">
      <c r="B700" s="5"/>
      <c r="F700" s="60"/>
      <c r="G700" s="60"/>
      <c r="H700" s="60"/>
      <c r="O700" s="61"/>
      <c r="X700" s="61"/>
      <c r="AB700" s="10"/>
    </row>
    <row r="701" ht="15.75" customHeight="1">
      <c r="B701" s="5"/>
      <c r="F701" s="60"/>
      <c r="G701" s="60"/>
      <c r="H701" s="60"/>
      <c r="O701" s="61"/>
      <c r="X701" s="61"/>
      <c r="AB701" s="10"/>
    </row>
    <row r="702" ht="15.75" customHeight="1">
      <c r="B702" s="5"/>
      <c r="F702" s="60"/>
      <c r="G702" s="60"/>
      <c r="H702" s="60"/>
      <c r="O702" s="61"/>
      <c r="X702" s="61"/>
      <c r="AB702" s="10"/>
    </row>
    <row r="703" ht="15.75" customHeight="1">
      <c r="B703" s="5"/>
      <c r="F703" s="60"/>
      <c r="G703" s="60"/>
      <c r="H703" s="60"/>
      <c r="O703" s="61"/>
      <c r="X703" s="61"/>
      <c r="AB703" s="10"/>
    </row>
    <row r="704" ht="15.75" customHeight="1">
      <c r="B704" s="5"/>
      <c r="F704" s="60"/>
      <c r="G704" s="60"/>
      <c r="H704" s="60"/>
      <c r="O704" s="61"/>
      <c r="X704" s="61"/>
      <c r="AB704" s="10"/>
    </row>
    <row r="705" ht="15.75" customHeight="1">
      <c r="B705" s="5"/>
      <c r="F705" s="60"/>
      <c r="G705" s="60"/>
      <c r="H705" s="60"/>
      <c r="O705" s="61"/>
      <c r="X705" s="61"/>
      <c r="AB705" s="10"/>
    </row>
    <row r="706" ht="15.75" customHeight="1">
      <c r="B706" s="5"/>
      <c r="F706" s="60"/>
      <c r="G706" s="60"/>
      <c r="H706" s="60"/>
      <c r="O706" s="61"/>
      <c r="X706" s="61"/>
      <c r="AB706" s="10"/>
    </row>
    <row r="707" ht="15.75" customHeight="1">
      <c r="B707" s="5"/>
      <c r="F707" s="60"/>
      <c r="G707" s="60"/>
      <c r="H707" s="60"/>
      <c r="O707" s="61"/>
      <c r="X707" s="61"/>
      <c r="AB707" s="10"/>
    </row>
    <row r="708" ht="15.75" customHeight="1">
      <c r="B708" s="5"/>
      <c r="F708" s="60"/>
      <c r="G708" s="60"/>
      <c r="H708" s="60"/>
      <c r="O708" s="61"/>
      <c r="X708" s="61"/>
      <c r="AB708" s="10"/>
    </row>
    <row r="709" ht="15.75" customHeight="1">
      <c r="B709" s="5"/>
      <c r="F709" s="60"/>
      <c r="G709" s="60"/>
      <c r="H709" s="60"/>
      <c r="O709" s="61"/>
      <c r="X709" s="61"/>
      <c r="AB709" s="10"/>
    </row>
    <row r="710" ht="15.75" customHeight="1">
      <c r="B710" s="5"/>
      <c r="F710" s="60"/>
      <c r="G710" s="60"/>
      <c r="H710" s="60"/>
      <c r="O710" s="61"/>
      <c r="X710" s="61"/>
      <c r="AB710" s="10"/>
    </row>
    <row r="711" ht="15.75" customHeight="1">
      <c r="B711" s="5"/>
      <c r="F711" s="60"/>
      <c r="G711" s="60"/>
      <c r="H711" s="60"/>
      <c r="O711" s="61"/>
      <c r="X711" s="61"/>
      <c r="AB711" s="10"/>
    </row>
    <row r="712" ht="15.75" customHeight="1">
      <c r="B712" s="5"/>
      <c r="F712" s="60"/>
      <c r="G712" s="60"/>
      <c r="H712" s="60"/>
      <c r="O712" s="61"/>
      <c r="X712" s="61"/>
      <c r="AB712" s="10"/>
    </row>
    <row r="713" ht="15.75" customHeight="1">
      <c r="B713" s="5"/>
      <c r="F713" s="60"/>
      <c r="G713" s="60"/>
      <c r="H713" s="60"/>
      <c r="O713" s="61"/>
      <c r="X713" s="61"/>
      <c r="AB713" s="10"/>
    </row>
    <row r="714" ht="15.75" customHeight="1">
      <c r="B714" s="5"/>
      <c r="F714" s="60"/>
      <c r="G714" s="60"/>
      <c r="H714" s="60"/>
      <c r="O714" s="61"/>
      <c r="X714" s="61"/>
      <c r="AB714" s="10"/>
    </row>
    <row r="715" ht="15.75" customHeight="1">
      <c r="B715" s="5"/>
      <c r="F715" s="60"/>
      <c r="G715" s="60"/>
      <c r="H715" s="60"/>
      <c r="O715" s="61"/>
      <c r="X715" s="61"/>
      <c r="AB715" s="10"/>
    </row>
    <row r="716" ht="15.75" customHeight="1">
      <c r="B716" s="5"/>
      <c r="F716" s="60"/>
      <c r="G716" s="60"/>
      <c r="H716" s="60"/>
      <c r="O716" s="61"/>
      <c r="X716" s="61"/>
      <c r="AB716" s="10"/>
    </row>
    <row r="717" ht="15.75" customHeight="1">
      <c r="B717" s="5"/>
      <c r="F717" s="60"/>
      <c r="G717" s="60"/>
      <c r="H717" s="60"/>
      <c r="O717" s="61"/>
      <c r="X717" s="61"/>
      <c r="AB717" s="10"/>
    </row>
    <row r="718" ht="15.75" customHeight="1">
      <c r="B718" s="5"/>
      <c r="F718" s="60"/>
      <c r="G718" s="60"/>
      <c r="H718" s="60"/>
      <c r="O718" s="61"/>
      <c r="X718" s="61"/>
      <c r="AB718" s="10"/>
    </row>
    <row r="719" ht="15.75" customHeight="1">
      <c r="B719" s="5"/>
      <c r="F719" s="60"/>
      <c r="G719" s="60"/>
      <c r="H719" s="60"/>
      <c r="O719" s="61"/>
      <c r="X719" s="61"/>
      <c r="AB719" s="10"/>
    </row>
    <row r="720" ht="15.75" customHeight="1">
      <c r="B720" s="5"/>
      <c r="F720" s="60"/>
      <c r="G720" s="60"/>
      <c r="H720" s="60"/>
      <c r="O720" s="61"/>
      <c r="X720" s="61"/>
      <c r="AB720" s="10"/>
    </row>
    <row r="721" ht="15.75" customHeight="1">
      <c r="B721" s="5"/>
      <c r="F721" s="60"/>
      <c r="G721" s="60"/>
      <c r="H721" s="60"/>
      <c r="O721" s="61"/>
      <c r="X721" s="61"/>
      <c r="AB721" s="10"/>
    </row>
    <row r="722" ht="15.75" customHeight="1">
      <c r="B722" s="5"/>
      <c r="F722" s="60"/>
      <c r="G722" s="60"/>
      <c r="H722" s="60"/>
      <c r="O722" s="61"/>
      <c r="X722" s="61"/>
      <c r="AB722" s="10"/>
    </row>
    <row r="723" ht="15.75" customHeight="1">
      <c r="B723" s="5"/>
      <c r="F723" s="60"/>
      <c r="G723" s="60"/>
      <c r="H723" s="60"/>
      <c r="O723" s="61"/>
      <c r="X723" s="61"/>
      <c r="AB723" s="10"/>
    </row>
    <row r="724" ht="15.75" customHeight="1">
      <c r="B724" s="5"/>
      <c r="F724" s="60"/>
      <c r="G724" s="60"/>
      <c r="H724" s="60"/>
      <c r="O724" s="61"/>
      <c r="X724" s="61"/>
      <c r="AB724" s="10"/>
    </row>
    <row r="725" ht="15.75" customHeight="1">
      <c r="B725" s="5"/>
      <c r="F725" s="60"/>
      <c r="G725" s="60"/>
      <c r="H725" s="60"/>
      <c r="O725" s="61"/>
      <c r="X725" s="61"/>
      <c r="AB725" s="10"/>
    </row>
    <row r="726" ht="15.75" customHeight="1">
      <c r="B726" s="5"/>
      <c r="F726" s="60"/>
      <c r="G726" s="60"/>
      <c r="H726" s="60"/>
      <c r="O726" s="61"/>
      <c r="X726" s="61"/>
      <c r="AB726" s="10"/>
    </row>
    <row r="727" ht="15.75" customHeight="1">
      <c r="B727" s="5"/>
      <c r="F727" s="60"/>
      <c r="G727" s="60"/>
      <c r="H727" s="60"/>
      <c r="O727" s="61"/>
      <c r="X727" s="61"/>
      <c r="AB727" s="10"/>
    </row>
    <row r="728" ht="15.75" customHeight="1">
      <c r="B728" s="5"/>
      <c r="F728" s="60"/>
      <c r="G728" s="60"/>
      <c r="H728" s="60"/>
      <c r="O728" s="61"/>
      <c r="X728" s="61"/>
      <c r="AB728" s="10"/>
    </row>
    <row r="729" ht="15.75" customHeight="1">
      <c r="B729" s="5"/>
      <c r="F729" s="60"/>
      <c r="G729" s="60"/>
      <c r="H729" s="60"/>
      <c r="O729" s="61"/>
      <c r="X729" s="61"/>
      <c r="AB729" s="10"/>
    </row>
    <row r="730" ht="15.75" customHeight="1">
      <c r="B730" s="5"/>
      <c r="F730" s="60"/>
      <c r="G730" s="60"/>
      <c r="H730" s="60"/>
      <c r="O730" s="61"/>
      <c r="X730" s="61"/>
      <c r="AB730" s="10"/>
    </row>
    <row r="731" ht="15.75" customHeight="1">
      <c r="B731" s="5"/>
      <c r="F731" s="60"/>
      <c r="G731" s="60"/>
      <c r="H731" s="60"/>
      <c r="O731" s="61"/>
      <c r="X731" s="61"/>
      <c r="AB731" s="10"/>
    </row>
    <row r="732" ht="15.75" customHeight="1">
      <c r="B732" s="5"/>
      <c r="F732" s="60"/>
      <c r="G732" s="60"/>
      <c r="H732" s="60"/>
      <c r="O732" s="61"/>
      <c r="X732" s="61"/>
      <c r="AB732" s="10"/>
    </row>
    <row r="733" ht="15.75" customHeight="1">
      <c r="B733" s="5"/>
      <c r="F733" s="60"/>
      <c r="G733" s="60"/>
      <c r="H733" s="60"/>
      <c r="O733" s="61"/>
      <c r="X733" s="61"/>
      <c r="AB733" s="10"/>
    </row>
    <row r="734" ht="15.75" customHeight="1">
      <c r="B734" s="5"/>
      <c r="F734" s="60"/>
      <c r="G734" s="60"/>
      <c r="H734" s="60"/>
      <c r="O734" s="61"/>
      <c r="X734" s="61"/>
      <c r="AB734" s="10"/>
    </row>
    <row r="735" ht="15.75" customHeight="1">
      <c r="B735" s="5"/>
      <c r="F735" s="60"/>
      <c r="G735" s="60"/>
      <c r="H735" s="60"/>
      <c r="O735" s="61"/>
      <c r="X735" s="61"/>
      <c r="AB735" s="10"/>
    </row>
    <row r="736" ht="15.75" customHeight="1">
      <c r="B736" s="5"/>
      <c r="F736" s="60"/>
      <c r="G736" s="60"/>
      <c r="H736" s="60"/>
      <c r="O736" s="61"/>
      <c r="X736" s="61"/>
      <c r="AB736" s="10"/>
    </row>
    <row r="737" ht="15.75" customHeight="1">
      <c r="B737" s="5"/>
      <c r="F737" s="60"/>
      <c r="G737" s="60"/>
      <c r="H737" s="60"/>
      <c r="O737" s="61"/>
      <c r="X737" s="61"/>
      <c r="AB737" s="10"/>
    </row>
    <row r="738" ht="15.75" customHeight="1">
      <c r="B738" s="5"/>
      <c r="F738" s="60"/>
      <c r="G738" s="60"/>
      <c r="H738" s="60"/>
      <c r="O738" s="61"/>
      <c r="X738" s="61"/>
      <c r="AB738" s="10"/>
    </row>
    <row r="739" ht="15.75" customHeight="1">
      <c r="B739" s="5"/>
      <c r="F739" s="60"/>
      <c r="G739" s="60"/>
      <c r="H739" s="60"/>
      <c r="O739" s="61"/>
      <c r="X739" s="61"/>
      <c r="AB739" s="10"/>
    </row>
    <row r="740" ht="15.75" customHeight="1">
      <c r="B740" s="5"/>
      <c r="F740" s="60"/>
      <c r="G740" s="60"/>
      <c r="H740" s="60"/>
      <c r="O740" s="61"/>
      <c r="X740" s="61"/>
      <c r="AB740" s="10"/>
    </row>
    <row r="741" ht="15.75" customHeight="1">
      <c r="B741" s="5"/>
      <c r="F741" s="60"/>
      <c r="G741" s="60"/>
      <c r="H741" s="60"/>
      <c r="O741" s="61"/>
      <c r="X741" s="61"/>
      <c r="AB741" s="10"/>
    </row>
    <row r="742" ht="15.75" customHeight="1">
      <c r="B742" s="5"/>
      <c r="F742" s="60"/>
      <c r="G742" s="60"/>
      <c r="H742" s="60"/>
      <c r="O742" s="61"/>
      <c r="X742" s="61"/>
      <c r="AB742" s="10"/>
    </row>
    <row r="743" ht="15.75" customHeight="1">
      <c r="B743" s="5"/>
      <c r="F743" s="60"/>
      <c r="G743" s="60"/>
      <c r="H743" s="60"/>
      <c r="O743" s="61"/>
      <c r="X743" s="61"/>
      <c r="AB743" s="10"/>
    </row>
    <row r="744" ht="15.75" customHeight="1">
      <c r="B744" s="5"/>
      <c r="F744" s="60"/>
      <c r="G744" s="60"/>
      <c r="H744" s="60"/>
      <c r="O744" s="61"/>
      <c r="X744" s="61"/>
      <c r="AB744" s="10"/>
    </row>
    <row r="745" ht="15.75" customHeight="1">
      <c r="B745" s="5"/>
      <c r="F745" s="60"/>
      <c r="G745" s="60"/>
      <c r="H745" s="60"/>
      <c r="O745" s="61"/>
      <c r="X745" s="61"/>
      <c r="AB745" s="10"/>
    </row>
    <row r="746" ht="15.75" customHeight="1">
      <c r="B746" s="5"/>
      <c r="F746" s="60"/>
      <c r="G746" s="60"/>
      <c r="H746" s="60"/>
      <c r="O746" s="61"/>
      <c r="X746" s="61"/>
      <c r="AB746" s="10"/>
    </row>
    <row r="747" ht="15.75" customHeight="1">
      <c r="B747" s="5"/>
      <c r="F747" s="60"/>
      <c r="G747" s="60"/>
      <c r="H747" s="60"/>
      <c r="O747" s="61"/>
      <c r="X747" s="61"/>
      <c r="AB747" s="10"/>
    </row>
    <row r="748" ht="15.75" customHeight="1">
      <c r="B748" s="5"/>
      <c r="F748" s="60"/>
      <c r="G748" s="60"/>
      <c r="H748" s="60"/>
      <c r="O748" s="61"/>
      <c r="X748" s="61"/>
      <c r="AB748" s="10"/>
    </row>
    <row r="749" ht="15.75" customHeight="1">
      <c r="B749" s="5"/>
      <c r="F749" s="60"/>
      <c r="G749" s="60"/>
      <c r="H749" s="60"/>
      <c r="O749" s="61"/>
      <c r="X749" s="61"/>
      <c r="AB749" s="10"/>
    </row>
    <row r="750" ht="15.75" customHeight="1">
      <c r="B750" s="5"/>
      <c r="F750" s="60"/>
      <c r="G750" s="60"/>
      <c r="H750" s="60"/>
      <c r="O750" s="61"/>
      <c r="X750" s="61"/>
      <c r="AB750" s="10"/>
    </row>
    <row r="751" ht="15.75" customHeight="1">
      <c r="B751" s="5"/>
      <c r="F751" s="60"/>
      <c r="G751" s="60"/>
      <c r="H751" s="60"/>
      <c r="O751" s="61"/>
      <c r="X751" s="61"/>
      <c r="AB751" s="10"/>
    </row>
    <row r="752" ht="15.75" customHeight="1">
      <c r="B752" s="5"/>
      <c r="F752" s="60"/>
      <c r="G752" s="60"/>
      <c r="H752" s="60"/>
      <c r="O752" s="61"/>
      <c r="X752" s="61"/>
      <c r="AB752" s="10"/>
    </row>
    <row r="753" ht="15.75" customHeight="1">
      <c r="B753" s="5"/>
      <c r="F753" s="60"/>
      <c r="G753" s="60"/>
      <c r="H753" s="60"/>
      <c r="O753" s="61"/>
      <c r="X753" s="61"/>
      <c r="AB753" s="10"/>
    </row>
    <row r="754" ht="15.75" customHeight="1">
      <c r="B754" s="5"/>
      <c r="F754" s="60"/>
      <c r="G754" s="60"/>
      <c r="H754" s="60"/>
      <c r="O754" s="61"/>
      <c r="X754" s="61"/>
      <c r="AB754" s="10"/>
    </row>
    <row r="755" ht="15.75" customHeight="1">
      <c r="B755" s="5"/>
      <c r="F755" s="60"/>
      <c r="G755" s="60"/>
      <c r="H755" s="60"/>
      <c r="O755" s="61"/>
      <c r="X755" s="61"/>
      <c r="AB755" s="10"/>
    </row>
    <row r="756" ht="15.75" customHeight="1">
      <c r="B756" s="5"/>
      <c r="F756" s="60"/>
      <c r="G756" s="60"/>
      <c r="H756" s="60"/>
      <c r="O756" s="61"/>
      <c r="X756" s="61"/>
      <c r="AB756" s="10"/>
    </row>
    <row r="757" ht="15.75" customHeight="1">
      <c r="B757" s="5"/>
      <c r="F757" s="60"/>
      <c r="G757" s="60"/>
      <c r="H757" s="60"/>
      <c r="O757" s="61"/>
      <c r="X757" s="61"/>
      <c r="AB757" s="10"/>
    </row>
    <row r="758" ht="15.75" customHeight="1">
      <c r="B758" s="5"/>
      <c r="F758" s="60"/>
      <c r="G758" s="60"/>
      <c r="H758" s="60"/>
      <c r="O758" s="61"/>
      <c r="X758" s="61"/>
      <c r="AB758" s="10"/>
    </row>
    <row r="759" ht="15.75" customHeight="1">
      <c r="B759" s="5"/>
      <c r="F759" s="60"/>
      <c r="G759" s="60"/>
      <c r="H759" s="60"/>
      <c r="O759" s="61"/>
      <c r="X759" s="61"/>
      <c r="AB759" s="10"/>
    </row>
    <row r="760" ht="15.75" customHeight="1">
      <c r="B760" s="5"/>
      <c r="F760" s="60"/>
      <c r="G760" s="60"/>
      <c r="H760" s="60"/>
      <c r="O760" s="61"/>
      <c r="X760" s="61"/>
      <c r="AB760" s="10"/>
    </row>
    <row r="761" ht="15.75" customHeight="1">
      <c r="B761" s="5"/>
      <c r="F761" s="60"/>
      <c r="G761" s="60"/>
      <c r="H761" s="60"/>
      <c r="O761" s="61"/>
      <c r="X761" s="61"/>
      <c r="AB761" s="10"/>
    </row>
    <row r="762" ht="15.75" customHeight="1">
      <c r="B762" s="5"/>
      <c r="F762" s="60"/>
      <c r="G762" s="60"/>
      <c r="H762" s="60"/>
      <c r="O762" s="61"/>
      <c r="X762" s="61"/>
      <c r="AB762" s="10"/>
    </row>
    <row r="763" ht="15.75" customHeight="1">
      <c r="B763" s="5"/>
      <c r="F763" s="60"/>
      <c r="G763" s="60"/>
      <c r="H763" s="60"/>
      <c r="O763" s="61"/>
      <c r="X763" s="61"/>
      <c r="AB763" s="10"/>
    </row>
    <row r="764" ht="15.75" customHeight="1">
      <c r="B764" s="5"/>
      <c r="F764" s="60"/>
      <c r="G764" s="60"/>
      <c r="H764" s="60"/>
      <c r="O764" s="61"/>
      <c r="X764" s="61"/>
      <c r="AB764" s="10"/>
    </row>
    <row r="765" ht="15.75" customHeight="1">
      <c r="B765" s="5"/>
      <c r="F765" s="60"/>
      <c r="G765" s="60"/>
      <c r="H765" s="60"/>
      <c r="O765" s="61"/>
      <c r="X765" s="61"/>
      <c r="AB765" s="10"/>
    </row>
    <row r="766" ht="15.75" customHeight="1">
      <c r="B766" s="5"/>
      <c r="F766" s="60"/>
      <c r="G766" s="60"/>
      <c r="H766" s="60"/>
      <c r="O766" s="61"/>
      <c r="X766" s="61"/>
      <c r="AB766" s="10"/>
    </row>
    <row r="767" ht="15.75" customHeight="1">
      <c r="B767" s="5"/>
      <c r="F767" s="60"/>
      <c r="G767" s="60"/>
      <c r="H767" s="60"/>
      <c r="O767" s="61"/>
      <c r="X767" s="61"/>
      <c r="AB767" s="10"/>
    </row>
    <row r="768" ht="15.75" customHeight="1">
      <c r="B768" s="5"/>
      <c r="F768" s="60"/>
      <c r="G768" s="60"/>
      <c r="H768" s="60"/>
      <c r="O768" s="61"/>
      <c r="X768" s="61"/>
      <c r="AB768" s="10"/>
    </row>
    <row r="769" ht="15.75" customHeight="1">
      <c r="B769" s="5"/>
      <c r="F769" s="60"/>
      <c r="G769" s="60"/>
      <c r="H769" s="60"/>
      <c r="O769" s="61"/>
      <c r="X769" s="61"/>
      <c r="AB769" s="10"/>
    </row>
    <row r="770" ht="15.75" customHeight="1">
      <c r="B770" s="5"/>
      <c r="F770" s="60"/>
      <c r="G770" s="60"/>
      <c r="H770" s="60"/>
      <c r="O770" s="61"/>
      <c r="X770" s="61"/>
      <c r="AB770" s="10"/>
    </row>
    <row r="771" ht="15.75" customHeight="1">
      <c r="B771" s="5"/>
      <c r="F771" s="60"/>
      <c r="G771" s="60"/>
      <c r="H771" s="60"/>
      <c r="O771" s="61"/>
      <c r="X771" s="61"/>
      <c r="AB771" s="10"/>
    </row>
    <row r="772" ht="15.75" customHeight="1">
      <c r="B772" s="5"/>
      <c r="F772" s="60"/>
      <c r="G772" s="60"/>
      <c r="H772" s="60"/>
      <c r="O772" s="61"/>
      <c r="X772" s="61"/>
      <c r="AB772" s="10"/>
    </row>
    <row r="773" ht="15.75" customHeight="1">
      <c r="B773" s="5"/>
      <c r="F773" s="60"/>
      <c r="G773" s="60"/>
      <c r="H773" s="60"/>
      <c r="O773" s="61"/>
      <c r="X773" s="61"/>
      <c r="AB773" s="10"/>
    </row>
    <row r="774" ht="15.75" customHeight="1">
      <c r="B774" s="5"/>
      <c r="F774" s="60"/>
      <c r="G774" s="60"/>
      <c r="H774" s="60"/>
      <c r="O774" s="61"/>
      <c r="X774" s="61"/>
      <c r="AB774" s="10"/>
    </row>
    <row r="775" ht="15.75" customHeight="1">
      <c r="B775" s="5"/>
      <c r="F775" s="60"/>
      <c r="G775" s="60"/>
      <c r="H775" s="60"/>
      <c r="O775" s="61"/>
      <c r="X775" s="61"/>
      <c r="AB775" s="10"/>
    </row>
    <row r="776" ht="15.75" customHeight="1">
      <c r="B776" s="5"/>
      <c r="F776" s="60"/>
      <c r="G776" s="60"/>
      <c r="H776" s="60"/>
      <c r="O776" s="61"/>
      <c r="X776" s="61"/>
      <c r="AB776" s="10"/>
    </row>
    <row r="777" ht="15.75" customHeight="1">
      <c r="B777" s="5"/>
      <c r="F777" s="60"/>
      <c r="G777" s="60"/>
      <c r="H777" s="60"/>
      <c r="O777" s="61"/>
      <c r="X777" s="61"/>
      <c r="AB777" s="10"/>
    </row>
    <row r="778" ht="15.75" customHeight="1">
      <c r="B778" s="5"/>
      <c r="F778" s="60"/>
      <c r="G778" s="60"/>
      <c r="H778" s="60"/>
      <c r="O778" s="61"/>
      <c r="X778" s="61"/>
      <c r="AB778" s="10"/>
    </row>
    <row r="779" ht="15.75" customHeight="1">
      <c r="B779" s="5"/>
      <c r="F779" s="60"/>
      <c r="G779" s="60"/>
      <c r="H779" s="60"/>
      <c r="O779" s="61"/>
      <c r="X779" s="61"/>
      <c r="AB779" s="10"/>
    </row>
    <row r="780" ht="15.75" customHeight="1">
      <c r="B780" s="5"/>
      <c r="F780" s="60"/>
      <c r="G780" s="60"/>
      <c r="H780" s="60"/>
      <c r="O780" s="61"/>
      <c r="X780" s="61"/>
      <c r="AB780" s="10"/>
    </row>
    <row r="781" ht="15.75" customHeight="1">
      <c r="B781" s="5"/>
      <c r="F781" s="60"/>
      <c r="G781" s="60"/>
      <c r="H781" s="60"/>
      <c r="O781" s="61"/>
      <c r="X781" s="61"/>
      <c r="AB781" s="10"/>
    </row>
    <row r="782" ht="15.75" customHeight="1">
      <c r="B782" s="5"/>
      <c r="F782" s="60"/>
      <c r="G782" s="60"/>
      <c r="H782" s="60"/>
      <c r="O782" s="61"/>
      <c r="X782" s="61"/>
      <c r="AB782" s="10"/>
    </row>
    <row r="783" ht="15.75" customHeight="1">
      <c r="B783" s="5"/>
      <c r="F783" s="60"/>
      <c r="G783" s="60"/>
      <c r="H783" s="60"/>
      <c r="O783" s="61"/>
      <c r="X783" s="61"/>
      <c r="AB783" s="10"/>
    </row>
    <row r="784" ht="15.75" customHeight="1">
      <c r="B784" s="5"/>
      <c r="F784" s="60"/>
      <c r="G784" s="60"/>
      <c r="H784" s="60"/>
      <c r="O784" s="61"/>
      <c r="X784" s="61"/>
      <c r="AB784" s="10"/>
    </row>
    <row r="785" ht="15.75" customHeight="1">
      <c r="B785" s="5"/>
      <c r="F785" s="60"/>
      <c r="G785" s="60"/>
      <c r="H785" s="60"/>
      <c r="O785" s="61"/>
      <c r="X785" s="61"/>
      <c r="AB785" s="10"/>
    </row>
    <row r="786" ht="15.75" customHeight="1">
      <c r="B786" s="5"/>
      <c r="F786" s="60"/>
      <c r="G786" s="60"/>
      <c r="H786" s="60"/>
      <c r="O786" s="61"/>
      <c r="X786" s="61"/>
      <c r="AB786" s="10"/>
    </row>
    <row r="787" ht="15.75" customHeight="1">
      <c r="B787" s="5"/>
      <c r="F787" s="60"/>
      <c r="G787" s="60"/>
      <c r="H787" s="60"/>
      <c r="O787" s="61"/>
      <c r="X787" s="61"/>
      <c r="AB787" s="10"/>
    </row>
    <row r="788" ht="15.75" customHeight="1">
      <c r="B788" s="5"/>
      <c r="F788" s="60"/>
      <c r="G788" s="60"/>
      <c r="H788" s="60"/>
      <c r="O788" s="61"/>
      <c r="X788" s="61"/>
      <c r="AB788" s="10"/>
    </row>
    <row r="789" ht="15.75" customHeight="1">
      <c r="B789" s="5"/>
      <c r="F789" s="60"/>
      <c r="G789" s="60"/>
      <c r="H789" s="60"/>
      <c r="O789" s="61"/>
      <c r="X789" s="61"/>
      <c r="AB789" s="10"/>
    </row>
    <row r="790" ht="15.75" customHeight="1">
      <c r="B790" s="5"/>
      <c r="F790" s="60"/>
      <c r="G790" s="60"/>
      <c r="H790" s="60"/>
      <c r="O790" s="61"/>
      <c r="X790" s="61"/>
      <c r="AB790" s="10"/>
    </row>
    <row r="791" ht="15.75" customHeight="1">
      <c r="B791" s="5"/>
      <c r="F791" s="60"/>
      <c r="G791" s="60"/>
      <c r="H791" s="60"/>
      <c r="O791" s="61"/>
      <c r="X791" s="61"/>
      <c r="AB791" s="10"/>
    </row>
    <row r="792" ht="15.75" customHeight="1">
      <c r="B792" s="5"/>
      <c r="F792" s="60"/>
      <c r="G792" s="60"/>
      <c r="H792" s="60"/>
      <c r="O792" s="61"/>
      <c r="X792" s="61"/>
      <c r="AB792" s="10"/>
    </row>
    <row r="793" ht="15.75" customHeight="1">
      <c r="B793" s="5"/>
      <c r="F793" s="60"/>
      <c r="G793" s="60"/>
      <c r="H793" s="60"/>
      <c r="O793" s="61"/>
      <c r="X793" s="61"/>
      <c r="AB793" s="10"/>
    </row>
    <row r="794" ht="15.75" customHeight="1">
      <c r="B794" s="5"/>
      <c r="F794" s="60"/>
      <c r="G794" s="60"/>
      <c r="H794" s="60"/>
      <c r="O794" s="61"/>
      <c r="X794" s="61"/>
      <c r="AB794" s="10"/>
    </row>
    <row r="795" ht="15.75" customHeight="1">
      <c r="B795" s="5"/>
      <c r="F795" s="60"/>
      <c r="G795" s="60"/>
      <c r="H795" s="60"/>
      <c r="O795" s="61"/>
      <c r="X795" s="61"/>
      <c r="AB795" s="10"/>
    </row>
    <row r="796" ht="15.75" customHeight="1">
      <c r="B796" s="5"/>
      <c r="F796" s="60"/>
      <c r="G796" s="60"/>
      <c r="H796" s="60"/>
      <c r="O796" s="61"/>
      <c r="X796" s="61"/>
      <c r="AB796" s="10"/>
    </row>
    <row r="797" ht="15.75" customHeight="1">
      <c r="B797" s="5"/>
      <c r="F797" s="60"/>
      <c r="G797" s="60"/>
      <c r="H797" s="60"/>
      <c r="O797" s="61"/>
      <c r="X797" s="61"/>
      <c r="AB797" s="10"/>
    </row>
    <row r="798" ht="15.75" customHeight="1">
      <c r="B798" s="5"/>
      <c r="F798" s="60"/>
      <c r="G798" s="60"/>
      <c r="H798" s="60"/>
      <c r="O798" s="61"/>
      <c r="X798" s="61"/>
      <c r="AB798" s="10"/>
    </row>
    <row r="799" ht="15.75" customHeight="1">
      <c r="B799" s="5"/>
      <c r="F799" s="60"/>
      <c r="G799" s="60"/>
      <c r="H799" s="60"/>
      <c r="O799" s="61"/>
      <c r="X799" s="61"/>
      <c r="AB799" s="10"/>
    </row>
    <row r="800" ht="15.75" customHeight="1">
      <c r="B800" s="5"/>
      <c r="F800" s="60"/>
      <c r="G800" s="60"/>
      <c r="H800" s="60"/>
      <c r="O800" s="61"/>
      <c r="X800" s="61"/>
      <c r="AB800" s="10"/>
    </row>
    <row r="801" ht="15.75" customHeight="1">
      <c r="B801" s="5"/>
      <c r="F801" s="60"/>
      <c r="G801" s="60"/>
      <c r="H801" s="60"/>
      <c r="O801" s="61"/>
      <c r="X801" s="61"/>
      <c r="AB801" s="10"/>
    </row>
    <row r="802" ht="15.75" customHeight="1">
      <c r="B802" s="5"/>
      <c r="F802" s="60"/>
      <c r="G802" s="60"/>
      <c r="H802" s="60"/>
      <c r="O802" s="61"/>
      <c r="X802" s="61"/>
      <c r="AB802" s="10"/>
    </row>
    <row r="803" ht="15.75" customHeight="1">
      <c r="B803" s="5"/>
      <c r="F803" s="60"/>
      <c r="G803" s="60"/>
      <c r="H803" s="60"/>
      <c r="O803" s="61"/>
      <c r="X803" s="61"/>
      <c r="AB803" s="10"/>
    </row>
    <row r="804" ht="15.75" customHeight="1">
      <c r="B804" s="5"/>
      <c r="F804" s="60"/>
      <c r="G804" s="60"/>
      <c r="H804" s="60"/>
      <c r="O804" s="61"/>
      <c r="X804" s="61"/>
      <c r="AB804" s="10"/>
    </row>
    <row r="805" ht="15.75" customHeight="1">
      <c r="B805" s="5"/>
      <c r="F805" s="60"/>
      <c r="G805" s="60"/>
      <c r="H805" s="60"/>
      <c r="O805" s="61"/>
      <c r="X805" s="61"/>
      <c r="AB805" s="10"/>
    </row>
    <row r="806" ht="15.75" customHeight="1">
      <c r="B806" s="5"/>
      <c r="F806" s="60"/>
      <c r="G806" s="60"/>
      <c r="H806" s="60"/>
      <c r="O806" s="61"/>
      <c r="X806" s="61"/>
      <c r="AB806" s="10"/>
    </row>
    <row r="807" ht="15.75" customHeight="1">
      <c r="B807" s="5"/>
      <c r="F807" s="60"/>
      <c r="G807" s="60"/>
      <c r="H807" s="60"/>
      <c r="O807" s="61"/>
      <c r="X807" s="61"/>
      <c r="AB807" s="10"/>
    </row>
    <row r="808" ht="15.75" customHeight="1">
      <c r="B808" s="5"/>
      <c r="F808" s="60"/>
      <c r="G808" s="60"/>
      <c r="H808" s="60"/>
      <c r="O808" s="61"/>
      <c r="X808" s="61"/>
      <c r="AB808" s="10"/>
    </row>
    <row r="809" ht="15.75" customHeight="1">
      <c r="B809" s="5"/>
      <c r="F809" s="60"/>
      <c r="G809" s="60"/>
      <c r="H809" s="60"/>
      <c r="O809" s="61"/>
      <c r="X809" s="61"/>
      <c r="AB809" s="10"/>
    </row>
    <row r="810" ht="15.75" customHeight="1">
      <c r="B810" s="5"/>
      <c r="F810" s="60"/>
      <c r="G810" s="60"/>
      <c r="H810" s="60"/>
      <c r="O810" s="61"/>
      <c r="X810" s="61"/>
      <c r="AB810" s="10"/>
    </row>
    <row r="811" ht="15.75" customHeight="1">
      <c r="B811" s="5"/>
      <c r="F811" s="60"/>
      <c r="G811" s="60"/>
      <c r="H811" s="60"/>
      <c r="O811" s="61"/>
      <c r="X811" s="61"/>
      <c r="AB811" s="10"/>
    </row>
    <row r="812" ht="15.75" customHeight="1">
      <c r="B812" s="5"/>
      <c r="F812" s="60"/>
      <c r="G812" s="60"/>
      <c r="H812" s="60"/>
      <c r="O812" s="61"/>
      <c r="X812" s="61"/>
      <c r="AB812" s="10"/>
    </row>
    <row r="813" ht="15.75" customHeight="1">
      <c r="B813" s="5"/>
      <c r="F813" s="60"/>
      <c r="G813" s="60"/>
      <c r="H813" s="60"/>
      <c r="O813" s="61"/>
      <c r="X813" s="61"/>
      <c r="AB813" s="10"/>
    </row>
    <row r="814" ht="15.75" customHeight="1">
      <c r="B814" s="5"/>
      <c r="F814" s="60"/>
      <c r="G814" s="60"/>
      <c r="H814" s="60"/>
      <c r="O814" s="61"/>
      <c r="X814" s="61"/>
      <c r="AB814" s="10"/>
    </row>
    <row r="815" ht="15.75" customHeight="1">
      <c r="B815" s="5"/>
      <c r="F815" s="60"/>
      <c r="G815" s="60"/>
      <c r="H815" s="60"/>
      <c r="O815" s="61"/>
      <c r="X815" s="61"/>
      <c r="AB815" s="10"/>
    </row>
    <row r="816" ht="15.75" customHeight="1">
      <c r="B816" s="5"/>
      <c r="F816" s="60"/>
      <c r="G816" s="60"/>
      <c r="H816" s="60"/>
      <c r="O816" s="61"/>
      <c r="X816" s="61"/>
      <c r="AB816" s="10"/>
    </row>
    <row r="817" ht="15.75" customHeight="1">
      <c r="B817" s="5"/>
      <c r="F817" s="60"/>
      <c r="G817" s="60"/>
      <c r="H817" s="60"/>
      <c r="O817" s="61"/>
      <c r="X817" s="61"/>
      <c r="AB817" s="10"/>
    </row>
    <row r="818" ht="15.75" customHeight="1">
      <c r="B818" s="5"/>
      <c r="F818" s="60"/>
      <c r="G818" s="60"/>
      <c r="H818" s="60"/>
      <c r="O818" s="61"/>
      <c r="X818" s="61"/>
      <c r="AB818" s="10"/>
    </row>
    <row r="819" ht="15.75" customHeight="1">
      <c r="B819" s="5"/>
      <c r="F819" s="60"/>
      <c r="G819" s="60"/>
      <c r="H819" s="60"/>
      <c r="O819" s="61"/>
      <c r="X819" s="61"/>
      <c r="AB819" s="10"/>
    </row>
    <row r="820" ht="15.75" customHeight="1">
      <c r="B820" s="5"/>
      <c r="F820" s="60"/>
      <c r="G820" s="60"/>
      <c r="H820" s="60"/>
      <c r="O820" s="61"/>
      <c r="X820" s="61"/>
      <c r="AB820" s="10"/>
    </row>
    <row r="821" ht="15.75" customHeight="1">
      <c r="B821" s="5"/>
      <c r="F821" s="60"/>
      <c r="G821" s="60"/>
      <c r="H821" s="60"/>
      <c r="O821" s="61"/>
      <c r="X821" s="61"/>
      <c r="AB821" s="10"/>
    </row>
    <row r="822" ht="15.75" customHeight="1">
      <c r="B822" s="5"/>
      <c r="F822" s="60"/>
      <c r="G822" s="60"/>
      <c r="H822" s="60"/>
      <c r="O822" s="61"/>
      <c r="X822" s="61"/>
      <c r="AB822" s="10"/>
    </row>
    <row r="823" ht="15.75" customHeight="1">
      <c r="B823" s="5"/>
      <c r="F823" s="60"/>
      <c r="G823" s="60"/>
      <c r="H823" s="60"/>
      <c r="O823" s="61"/>
      <c r="X823" s="61"/>
      <c r="AB823" s="10"/>
    </row>
    <row r="824" ht="15.75" customHeight="1">
      <c r="B824" s="5"/>
      <c r="F824" s="60"/>
      <c r="G824" s="60"/>
      <c r="H824" s="60"/>
      <c r="O824" s="61"/>
      <c r="X824" s="61"/>
      <c r="AB824" s="10"/>
    </row>
    <row r="825" ht="15.75" customHeight="1">
      <c r="B825" s="5"/>
      <c r="F825" s="60"/>
      <c r="G825" s="60"/>
      <c r="H825" s="60"/>
      <c r="O825" s="61"/>
      <c r="X825" s="61"/>
      <c r="AB825" s="10"/>
    </row>
    <row r="826" ht="15.75" customHeight="1">
      <c r="B826" s="5"/>
      <c r="F826" s="60"/>
      <c r="G826" s="60"/>
      <c r="H826" s="60"/>
      <c r="O826" s="61"/>
      <c r="X826" s="61"/>
      <c r="AB826" s="10"/>
    </row>
    <row r="827" ht="15.75" customHeight="1">
      <c r="B827" s="5"/>
      <c r="F827" s="60"/>
      <c r="G827" s="60"/>
      <c r="H827" s="60"/>
      <c r="O827" s="61"/>
      <c r="X827" s="61"/>
      <c r="AB827" s="10"/>
    </row>
    <row r="828" ht="15.75" customHeight="1">
      <c r="B828" s="5"/>
      <c r="F828" s="60"/>
      <c r="G828" s="60"/>
      <c r="H828" s="60"/>
      <c r="O828" s="61"/>
      <c r="X828" s="61"/>
      <c r="AB828" s="10"/>
    </row>
    <row r="829" ht="15.75" customHeight="1">
      <c r="B829" s="5"/>
      <c r="F829" s="60"/>
      <c r="G829" s="60"/>
      <c r="H829" s="60"/>
      <c r="O829" s="61"/>
      <c r="X829" s="61"/>
      <c r="AB829" s="10"/>
    </row>
    <row r="830" ht="15.75" customHeight="1">
      <c r="B830" s="5"/>
      <c r="F830" s="60"/>
      <c r="G830" s="60"/>
      <c r="H830" s="60"/>
      <c r="O830" s="61"/>
      <c r="X830" s="61"/>
      <c r="AB830" s="10"/>
    </row>
    <row r="831" ht="15.75" customHeight="1">
      <c r="B831" s="5"/>
      <c r="F831" s="60"/>
      <c r="G831" s="60"/>
      <c r="H831" s="60"/>
      <c r="O831" s="61"/>
      <c r="X831" s="61"/>
      <c r="AB831" s="10"/>
    </row>
    <row r="832" ht="15.75" customHeight="1">
      <c r="B832" s="5"/>
      <c r="F832" s="60"/>
      <c r="G832" s="60"/>
      <c r="H832" s="60"/>
      <c r="O832" s="61"/>
      <c r="X832" s="61"/>
      <c r="AB832" s="10"/>
    </row>
    <row r="833" ht="15.75" customHeight="1">
      <c r="B833" s="5"/>
      <c r="F833" s="60"/>
      <c r="G833" s="60"/>
      <c r="H833" s="60"/>
      <c r="O833" s="61"/>
      <c r="X833" s="61"/>
      <c r="AB833" s="10"/>
    </row>
    <row r="834" ht="15.75" customHeight="1">
      <c r="B834" s="5"/>
      <c r="F834" s="60"/>
      <c r="G834" s="60"/>
      <c r="H834" s="60"/>
      <c r="O834" s="61"/>
      <c r="X834" s="61"/>
      <c r="AB834" s="10"/>
    </row>
    <row r="835" ht="15.75" customHeight="1">
      <c r="B835" s="5"/>
      <c r="F835" s="60"/>
      <c r="G835" s="60"/>
      <c r="H835" s="60"/>
      <c r="O835" s="61"/>
      <c r="X835" s="61"/>
      <c r="AB835" s="10"/>
    </row>
    <row r="836" ht="15.75" customHeight="1">
      <c r="B836" s="5"/>
      <c r="F836" s="60"/>
      <c r="G836" s="60"/>
      <c r="H836" s="60"/>
      <c r="O836" s="61"/>
      <c r="X836" s="61"/>
      <c r="AB836" s="10"/>
    </row>
    <row r="837" ht="15.75" customHeight="1">
      <c r="B837" s="5"/>
      <c r="F837" s="60"/>
      <c r="G837" s="60"/>
      <c r="H837" s="60"/>
      <c r="O837" s="61"/>
      <c r="X837" s="61"/>
      <c r="AB837" s="10"/>
    </row>
    <row r="838" ht="15.75" customHeight="1">
      <c r="B838" s="5"/>
      <c r="F838" s="60"/>
      <c r="G838" s="60"/>
      <c r="H838" s="60"/>
      <c r="O838" s="61"/>
      <c r="X838" s="61"/>
      <c r="AB838" s="10"/>
    </row>
    <row r="839" ht="15.75" customHeight="1">
      <c r="B839" s="5"/>
      <c r="F839" s="60"/>
      <c r="G839" s="60"/>
      <c r="H839" s="60"/>
      <c r="O839" s="61"/>
      <c r="X839" s="61"/>
      <c r="AB839" s="10"/>
    </row>
    <row r="840" ht="15.75" customHeight="1">
      <c r="B840" s="5"/>
      <c r="F840" s="60"/>
      <c r="G840" s="60"/>
      <c r="H840" s="60"/>
      <c r="O840" s="61"/>
      <c r="X840" s="61"/>
      <c r="AB840" s="10"/>
    </row>
    <row r="841" ht="15.75" customHeight="1">
      <c r="B841" s="5"/>
      <c r="F841" s="60"/>
      <c r="G841" s="60"/>
      <c r="H841" s="60"/>
      <c r="O841" s="61"/>
      <c r="X841" s="61"/>
      <c r="AB841" s="10"/>
    </row>
    <row r="842" ht="15.75" customHeight="1">
      <c r="B842" s="5"/>
      <c r="F842" s="60"/>
      <c r="G842" s="60"/>
      <c r="H842" s="60"/>
      <c r="O842" s="61"/>
      <c r="X842" s="61"/>
      <c r="AB842" s="10"/>
    </row>
    <row r="843" ht="15.75" customHeight="1">
      <c r="B843" s="5"/>
      <c r="F843" s="60"/>
      <c r="G843" s="60"/>
      <c r="H843" s="60"/>
      <c r="O843" s="61"/>
      <c r="X843" s="61"/>
      <c r="AB843" s="10"/>
    </row>
    <row r="844" ht="15.75" customHeight="1">
      <c r="B844" s="5"/>
      <c r="F844" s="60"/>
      <c r="G844" s="60"/>
      <c r="H844" s="60"/>
      <c r="O844" s="61"/>
      <c r="X844" s="61"/>
      <c r="AB844" s="10"/>
    </row>
    <row r="845" ht="15.75" customHeight="1">
      <c r="B845" s="5"/>
      <c r="F845" s="60"/>
      <c r="G845" s="60"/>
      <c r="H845" s="60"/>
      <c r="O845" s="61"/>
      <c r="X845" s="61"/>
      <c r="AB845" s="10"/>
    </row>
    <row r="846" ht="15.75" customHeight="1">
      <c r="B846" s="5"/>
      <c r="F846" s="60"/>
      <c r="G846" s="60"/>
      <c r="H846" s="60"/>
      <c r="O846" s="61"/>
      <c r="X846" s="61"/>
      <c r="AB846" s="10"/>
    </row>
    <row r="847" ht="15.75" customHeight="1">
      <c r="B847" s="5"/>
      <c r="F847" s="60"/>
      <c r="G847" s="60"/>
      <c r="H847" s="60"/>
      <c r="O847" s="61"/>
      <c r="X847" s="61"/>
      <c r="AB847" s="10"/>
    </row>
    <row r="848" ht="15.75" customHeight="1">
      <c r="B848" s="5"/>
      <c r="F848" s="60"/>
      <c r="G848" s="60"/>
      <c r="H848" s="60"/>
      <c r="O848" s="61"/>
      <c r="X848" s="61"/>
      <c r="AB848" s="10"/>
    </row>
    <row r="849" ht="15.75" customHeight="1">
      <c r="B849" s="5"/>
      <c r="F849" s="60"/>
      <c r="G849" s="60"/>
      <c r="H849" s="60"/>
      <c r="O849" s="61"/>
      <c r="X849" s="61"/>
      <c r="AB849" s="10"/>
    </row>
    <row r="850" ht="15.75" customHeight="1">
      <c r="B850" s="5"/>
      <c r="F850" s="60"/>
      <c r="G850" s="60"/>
      <c r="H850" s="60"/>
      <c r="O850" s="61"/>
      <c r="X850" s="61"/>
      <c r="AB850" s="10"/>
    </row>
    <row r="851" ht="15.75" customHeight="1">
      <c r="B851" s="5"/>
      <c r="F851" s="60"/>
      <c r="G851" s="60"/>
      <c r="H851" s="60"/>
      <c r="O851" s="61"/>
      <c r="X851" s="61"/>
      <c r="AB851" s="10"/>
    </row>
    <row r="852" ht="15.75" customHeight="1">
      <c r="B852" s="5"/>
      <c r="F852" s="60"/>
      <c r="G852" s="60"/>
      <c r="H852" s="60"/>
      <c r="O852" s="61"/>
      <c r="X852" s="61"/>
      <c r="AB852" s="10"/>
    </row>
    <row r="853" ht="15.75" customHeight="1">
      <c r="B853" s="5"/>
      <c r="F853" s="60"/>
      <c r="G853" s="60"/>
      <c r="H853" s="60"/>
      <c r="O853" s="61"/>
      <c r="X853" s="61"/>
      <c r="AB853" s="10"/>
    </row>
    <row r="854" ht="15.75" customHeight="1">
      <c r="B854" s="5"/>
      <c r="F854" s="60"/>
      <c r="G854" s="60"/>
      <c r="H854" s="60"/>
      <c r="O854" s="61"/>
      <c r="X854" s="61"/>
      <c r="AB854" s="10"/>
    </row>
    <row r="855" ht="15.75" customHeight="1">
      <c r="B855" s="5"/>
      <c r="F855" s="60"/>
      <c r="G855" s="60"/>
      <c r="H855" s="60"/>
      <c r="O855" s="61"/>
      <c r="X855" s="61"/>
      <c r="AB855" s="10"/>
    </row>
    <row r="856" ht="15.75" customHeight="1">
      <c r="B856" s="5"/>
      <c r="F856" s="60"/>
      <c r="G856" s="60"/>
      <c r="H856" s="60"/>
      <c r="O856" s="61"/>
      <c r="X856" s="61"/>
      <c r="AB856" s="10"/>
    </row>
    <row r="857" ht="15.75" customHeight="1">
      <c r="B857" s="5"/>
      <c r="F857" s="60"/>
      <c r="G857" s="60"/>
      <c r="H857" s="60"/>
      <c r="O857" s="61"/>
      <c r="X857" s="61"/>
      <c r="AB857" s="10"/>
    </row>
    <row r="858" ht="15.75" customHeight="1">
      <c r="B858" s="5"/>
      <c r="F858" s="60"/>
      <c r="G858" s="60"/>
      <c r="H858" s="60"/>
      <c r="O858" s="61"/>
      <c r="X858" s="61"/>
      <c r="AB858" s="10"/>
    </row>
    <row r="859" ht="15.75" customHeight="1">
      <c r="B859" s="5"/>
      <c r="F859" s="60"/>
      <c r="G859" s="60"/>
      <c r="H859" s="60"/>
      <c r="O859" s="61"/>
      <c r="X859" s="61"/>
      <c r="AB859" s="10"/>
    </row>
    <row r="860" ht="15.75" customHeight="1">
      <c r="B860" s="5"/>
      <c r="F860" s="60"/>
      <c r="G860" s="60"/>
      <c r="H860" s="60"/>
      <c r="O860" s="61"/>
      <c r="X860" s="61"/>
      <c r="AB860" s="10"/>
    </row>
    <row r="861" ht="15.75" customHeight="1">
      <c r="B861" s="5"/>
      <c r="F861" s="60"/>
      <c r="G861" s="60"/>
      <c r="H861" s="60"/>
      <c r="O861" s="61"/>
      <c r="X861" s="61"/>
      <c r="AB861" s="10"/>
    </row>
    <row r="862" ht="15.75" customHeight="1">
      <c r="B862" s="5"/>
      <c r="F862" s="60"/>
      <c r="G862" s="60"/>
      <c r="H862" s="60"/>
      <c r="O862" s="61"/>
      <c r="X862" s="61"/>
      <c r="AB862" s="10"/>
    </row>
    <row r="863" ht="15.75" customHeight="1">
      <c r="B863" s="5"/>
      <c r="F863" s="60"/>
      <c r="G863" s="60"/>
      <c r="H863" s="60"/>
      <c r="O863" s="61"/>
      <c r="X863" s="61"/>
      <c r="AB863" s="10"/>
    </row>
    <row r="864" ht="15.75" customHeight="1">
      <c r="B864" s="5"/>
      <c r="F864" s="60"/>
      <c r="G864" s="60"/>
      <c r="H864" s="60"/>
      <c r="O864" s="61"/>
      <c r="X864" s="61"/>
      <c r="AB864" s="10"/>
    </row>
    <row r="865" ht="15.75" customHeight="1">
      <c r="B865" s="5"/>
      <c r="F865" s="60"/>
      <c r="G865" s="60"/>
      <c r="H865" s="60"/>
      <c r="O865" s="61"/>
      <c r="X865" s="61"/>
      <c r="AB865" s="10"/>
    </row>
    <row r="866" ht="15.75" customHeight="1">
      <c r="B866" s="5"/>
      <c r="F866" s="60"/>
      <c r="G866" s="60"/>
      <c r="H866" s="60"/>
      <c r="O866" s="61"/>
      <c r="X866" s="61"/>
      <c r="AB866" s="10"/>
    </row>
    <row r="867" ht="15.75" customHeight="1">
      <c r="B867" s="5"/>
      <c r="F867" s="60"/>
      <c r="G867" s="60"/>
      <c r="H867" s="60"/>
      <c r="O867" s="61"/>
      <c r="X867" s="61"/>
      <c r="AB867" s="10"/>
    </row>
    <row r="868" ht="15.75" customHeight="1">
      <c r="B868" s="5"/>
      <c r="F868" s="60"/>
      <c r="G868" s="60"/>
      <c r="H868" s="60"/>
      <c r="O868" s="61"/>
      <c r="X868" s="61"/>
      <c r="AB868" s="10"/>
    </row>
    <row r="869" ht="15.75" customHeight="1">
      <c r="B869" s="5"/>
      <c r="F869" s="60"/>
      <c r="G869" s="60"/>
      <c r="H869" s="60"/>
      <c r="O869" s="61"/>
      <c r="X869" s="61"/>
      <c r="AB869" s="10"/>
    </row>
    <row r="870" ht="15.75" customHeight="1">
      <c r="B870" s="5"/>
      <c r="F870" s="60"/>
      <c r="G870" s="60"/>
      <c r="H870" s="60"/>
      <c r="O870" s="61"/>
      <c r="X870" s="61"/>
      <c r="AB870" s="10"/>
    </row>
    <row r="871" ht="15.75" customHeight="1">
      <c r="B871" s="5"/>
      <c r="F871" s="60"/>
      <c r="G871" s="60"/>
      <c r="H871" s="60"/>
      <c r="O871" s="61"/>
      <c r="X871" s="61"/>
      <c r="AB871" s="10"/>
    </row>
    <row r="872" ht="15.75" customHeight="1">
      <c r="B872" s="5"/>
      <c r="F872" s="60"/>
      <c r="G872" s="60"/>
      <c r="H872" s="60"/>
      <c r="O872" s="61"/>
      <c r="X872" s="61"/>
      <c r="AB872" s="10"/>
    </row>
    <row r="873" ht="15.75" customHeight="1">
      <c r="B873" s="5"/>
      <c r="F873" s="60"/>
      <c r="G873" s="60"/>
      <c r="H873" s="60"/>
      <c r="O873" s="61"/>
      <c r="X873" s="61"/>
      <c r="AB873" s="10"/>
    </row>
    <row r="874" ht="15.75" customHeight="1">
      <c r="B874" s="5"/>
      <c r="F874" s="60"/>
      <c r="G874" s="60"/>
      <c r="H874" s="60"/>
      <c r="O874" s="61"/>
      <c r="X874" s="61"/>
      <c r="AB874" s="10"/>
    </row>
    <row r="875" ht="15.75" customHeight="1">
      <c r="B875" s="5"/>
      <c r="F875" s="60"/>
      <c r="G875" s="60"/>
      <c r="H875" s="60"/>
      <c r="O875" s="61"/>
      <c r="X875" s="61"/>
      <c r="AB875" s="10"/>
    </row>
    <row r="876" ht="15.75" customHeight="1">
      <c r="B876" s="5"/>
      <c r="F876" s="60"/>
      <c r="G876" s="60"/>
      <c r="H876" s="60"/>
      <c r="O876" s="61"/>
      <c r="X876" s="61"/>
      <c r="AB876" s="10"/>
    </row>
    <row r="877" ht="15.75" customHeight="1">
      <c r="B877" s="5"/>
      <c r="F877" s="60"/>
      <c r="G877" s="60"/>
      <c r="H877" s="60"/>
      <c r="O877" s="61"/>
      <c r="X877" s="61"/>
      <c r="AB877" s="10"/>
    </row>
    <row r="878" ht="15.75" customHeight="1">
      <c r="B878" s="5"/>
      <c r="F878" s="60"/>
      <c r="G878" s="60"/>
      <c r="H878" s="60"/>
      <c r="O878" s="61"/>
      <c r="X878" s="61"/>
      <c r="AB878" s="10"/>
    </row>
    <row r="879" ht="15.75" customHeight="1">
      <c r="B879" s="5"/>
      <c r="F879" s="60"/>
      <c r="G879" s="60"/>
      <c r="H879" s="60"/>
      <c r="O879" s="61"/>
      <c r="X879" s="61"/>
      <c r="AB879" s="10"/>
    </row>
    <row r="880" ht="15.75" customHeight="1">
      <c r="B880" s="5"/>
      <c r="F880" s="60"/>
      <c r="G880" s="60"/>
      <c r="H880" s="60"/>
      <c r="O880" s="61"/>
      <c r="X880" s="61"/>
      <c r="AB880" s="10"/>
    </row>
    <row r="881" ht="15.75" customHeight="1">
      <c r="B881" s="5"/>
      <c r="F881" s="60"/>
      <c r="G881" s="60"/>
      <c r="H881" s="60"/>
      <c r="O881" s="61"/>
      <c r="X881" s="61"/>
      <c r="AB881" s="10"/>
    </row>
    <row r="882" ht="15.75" customHeight="1">
      <c r="B882" s="5"/>
      <c r="F882" s="60"/>
      <c r="G882" s="60"/>
      <c r="H882" s="60"/>
      <c r="O882" s="61"/>
      <c r="X882" s="61"/>
      <c r="AB882" s="10"/>
    </row>
    <row r="883" ht="15.75" customHeight="1">
      <c r="B883" s="5"/>
      <c r="F883" s="60"/>
      <c r="G883" s="60"/>
      <c r="H883" s="60"/>
      <c r="O883" s="61"/>
      <c r="X883" s="61"/>
      <c r="AB883" s="10"/>
    </row>
    <row r="884" ht="15.75" customHeight="1">
      <c r="B884" s="5"/>
      <c r="F884" s="60"/>
      <c r="G884" s="60"/>
      <c r="H884" s="60"/>
      <c r="O884" s="61"/>
      <c r="X884" s="61"/>
      <c r="AB884" s="10"/>
    </row>
    <row r="885" ht="15.75" customHeight="1">
      <c r="B885" s="5"/>
      <c r="F885" s="60"/>
      <c r="G885" s="60"/>
      <c r="H885" s="60"/>
      <c r="O885" s="61"/>
      <c r="X885" s="61"/>
      <c r="AB885" s="10"/>
    </row>
    <row r="886" ht="15.75" customHeight="1">
      <c r="B886" s="5"/>
      <c r="F886" s="60"/>
      <c r="G886" s="60"/>
      <c r="H886" s="60"/>
      <c r="O886" s="61"/>
      <c r="X886" s="61"/>
      <c r="AB886" s="10"/>
    </row>
    <row r="887" ht="15.75" customHeight="1">
      <c r="B887" s="5"/>
      <c r="F887" s="60"/>
      <c r="G887" s="60"/>
      <c r="H887" s="60"/>
      <c r="O887" s="61"/>
      <c r="X887" s="61"/>
      <c r="AB887" s="10"/>
    </row>
    <row r="888" ht="15.75" customHeight="1">
      <c r="B888" s="5"/>
      <c r="F888" s="60"/>
      <c r="G888" s="60"/>
      <c r="H888" s="60"/>
      <c r="O888" s="61"/>
      <c r="X888" s="61"/>
      <c r="AB888" s="10"/>
    </row>
    <row r="889" ht="15.75" customHeight="1">
      <c r="B889" s="5"/>
      <c r="F889" s="60"/>
      <c r="G889" s="60"/>
      <c r="H889" s="60"/>
      <c r="O889" s="61"/>
      <c r="X889" s="61"/>
      <c r="AB889" s="10"/>
    </row>
    <row r="890" ht="15.75" customHeight="1">
      <c r="B890" s="5"/>
      <c r="F890" s="60"/>
      <c r="G890" s="60"/>
      <c r="H890" s="60"/>
      <c r="O890" s="61"/>
      <c r="X890" s="61"/>
      <c r="AB890" s="10"/>
    </row>
    <row r="891" ht="15.75" customHeight="1">
      <c r="B891" s="5"/>
      <c r="F891" s="60"/>
      <c r="G891" s="60"/>
      <c r="H891" s="60"/>
      <c r="O891" s="61"/>
      <c r="X891" s="61"/>
      <c r="AB891" s="10"/>
    </row>
    <row r="892" ht="15.75" customHeight="1">
      <c r="B892" s="5"/>
      <c r="F892" s="60"/>
      <c r="G892" s="60"/>
      <c r="H892" s="60"/>
      <c r="O892" s="61"/>
      <c r="X892" s="61"/>
      <c r="AB892" s="10"/>
    </row>
    <row r="893" ht="15.75" customHeight="1">
      <c r="B893" s="5"/>
      <c r="F893" s="60"/>
      <c r="G893" s="60"/>
      <c r="H893" s="60"/>
      <c r="O893" s="61"/>
      <c r="X893" s="61"/>
      <c r="AB893" s="10"/>
    </row>
    <row r="894" ht="15.75" customHeight="1">
      <c r="B894" s="5"/>
      <c r="F894" s="60"/>
      <c r="G894" s="60"/>
      <c r="H894" s="60"/>
      <c r="O894" s="61"/>
      <c r="X894" s="61"/>
      <c r="AB894" s="10"/>
    </row>
    <row r="895" ht="15.75" customHeight="1">
      <c r="B895" s="5"/>
      <c r="F895" s="60"/>
      <c r="G895" s="60"/>
      <c r="H895" s="60"/>
      <c r="O895" s="61"/>
      <c r="X895" s="61"/>
      <c r="AB895" s="10"/>
    </row>
    <row r="896" ht="15.75" customHeight="1">
      <c r="B896" s="5"/>
      <c r="F896" s="60"/>
      <c r="G896" s="60"/>
      <c r="H896" s="60"/>
      <c r="O896" s="61"/>
      <c r="X896" s="61"/>
      <c r="AB896" s="10"/>
    </row>
    <row r="897" ht="15.75" customHeight="1">
      <c r="B897" s="5"/>
      <c r="F897" s="60"/>
      <c r="G897" s="60"/>
      <c r="H897" s="60"/>
      <c r="O897" s="61"/>
      <c r="X897" s="61"/>
      <c r="AB897" s="10"/>
    </row>
    <row r="898" ht="15.75" customHeight="1">
      <c r="B898" s="5"/>
      <c r="F898" s="60"/>
      <c r="G898" s="60"/>
      <c r="H898" s="60"/>
      <c r="O898" s="61"/>
      <c r="X898" s="61"/>
      <c r="AB898" s="10"/>
    </row>
    <row r="899" ht="15.75" customHeight="1">
      <c r="B899" s="5"/>
      <c r="F899" s="60"/>
      <c r="G899" s="60"/>
      <c r="H899" s="60"/>
      <c r="O899" s="61"/>
      <c r="X899" s="61"/>
      <c r="AB899" s="10"/>
    </row>
    <row r="900" ht="15.75" customHeight="1">
      <c r="B900" s="5"/>
      <c r="F900" s="60"/>
      <c r="G900" s="60"/>
      <c r="H900" s="60"/>
      <c r="O900" s="61"/>
      <c r="X900" s="61"/>
      <c r="AB900" s="10"/>
    </row>
    <row r="901" ht="15.75" customHeight="1">
      <c r="B901" s="5"/>
      <c r="F901" s="60"/>
      <c r="G901" s="60"/>
      <c r="H901" s="60"/>
      <c r="O901" s="61"/>
      <c r="X901" s="61"/>
      <c r="AB901" s="10"/>
    </row>
    <row r="902" ht="15.75" customHeight="1">
      <c r="B902" s="5"/>
      <c r="F902" s="60"/>
      <c r="G902" s="60"/>
      <c r="H902" s="60"/>
      <c r="O902" s="61"/>
      <c r="X902" s="61"/>
      <c r="AB902" s="10"/>
    </row>
    <row r="903" ht="15.75" customHeight="1">
      <c r="B903" s="5"/>
      <c r="F903" s="60"/>
      <c r="G903" s="60"/>
      <c r="H903" s="60"/>
      <c r="O903" s="61"/>
      <c r="X903" s="61"/>
      <c r="AB903" s="10"/>
    </row>
    <row r="904" ht="15.75" customHeight="1">
      <c r="B904" s="5"/>
      <c r="F904" s="60"/>
      <c r="G904" s="60"/>
      <c r="H904" s="60"/>
      <c r="O904" s="61"/>
      <c r="X904" s="61"/>
      <c r="AB904" s="10"/>
    </row>
    <row r="905" ht="15.75" customHeight="1">
      <c r="B905" s="5"/>
      <c r="F905" s="60"/>
      <c r="G905" s="60"/>
      <c r="H905" s="60"/>
      <c r="O905" s="61"/>
      <c r="X905" s="61"/>
      <c r="AB905" s="10"/>
    </row>
    <row r="906" ht="15.75" customHeight="1">
      <c r="B906" s="5"/>
      <c r="F906" s="60"/>
      <c r="G906" s="60"/>
      <c r="H906" s="60"/>
      <c r="O906" s="61"/>
      <c r="X906" s="61"/>
      <c r="AB906" s="10"/>
    </row>
    <row r="907" ht="15.75" customHeight="1">
      <c r="B907" s="5"/>
      <c r="F907" s="60"/>
      <c r="G907" s="60"/>
      <c r="H907" s="60"/>
      <c r="O907" s="61"/>
      <c r="X907" s="61"/>
      <c r="AB907" s="10"/>
    </row>
    <row r="908" ht="15.75" customHeight="1">
      <c r="B908" s="5"/>
      <c r="F908" s="60"/>
      <c r="G908" s="60"/>
      <c r="H908" s="60"/>
      <c r="O908" s="61"/>
      <c r="X908" s="61"/>
      <c r="AB908" s="10"/>
    </row>
    <row r="909" ht="15.75" customHeight="1">
      <c r="B909" s="5"/>
      <c r="F909" s="60"/>
      <c r="G909" s="60"/>
      <c r="H909" s="60"/>
      <c r="O909" s="61"/>
      <c r="X909" s="61"/>
      <c r="AB909" s="10"/>
    </row>
    <row r="910" ht="15.75" customHeight="1">
      <c r="B910" s="5"/>
      <c r="F910" s="60"/>
      <c r="G910" s="60"/>
      <c r="H910" s="60"/>
      <c r="O910" s="61"/>
      <c r="X910" s="61"/>
      <c r="AB910" s="10"/>
    </row>
    <row r="911" ht="15.75" customHeight="1">
      <c r="B911" s="5"/>
      <c r="F911" s="60"/>
      <c r="G911" s="60"/>
      <c r="H911" s="60"/>
      <c r="O911" s="61"/>
      <c r="X911" s="61"/>
      <c r="AB911" s="10"/>
    </row>
    <row r="912" ht="15.75" customHeight="1">
      <c r="B912" s="5"/>
      <c r="F912" s="60"/>
      <c r="G912" s="60"/>
      <c r="H912" s="60"/>
      <c r="O912" s="61"/>
      <c r="X912" s="61"/>
      <c r="AB912" s="10"/>
    </row>
    <row r="913" ht="15.75" customHeight="1">
      <c r="B913" s="5"/>
      <c r="F913" s="60"/>
      <c r="G913" s="60"/>
      <c r="H913" s="60"/>
      <c r="O913" s="61"/>
      <c r="X913" s="61"/>
      <c r="AB913" s="10"/>
    </row>
    <row r="914" ht="15.75" customHeight="1">
      <c r="B914" s="5"/>
      <c r="F914" s="60"/>
      <c r="G914" s="60"/>
      <c r="H914" s="60"/>
      <c r="O914" s="61"/>
      <c r="X914" s="61"/>
      <c r="AB914" s="10"/>
    </row>
    <row r="915" ht="15.75" customHeight="1">
      <c r="B915" s="5"/>
      <c r="F915" s="60"/>
      <c r="G915" s="60"/>
      <c r="H915" s="60"/>
      <c r="O915" s="61"/>
      <c r="X915" s="61"/>
      <c r="AB915" s="10"/>
    </row>
    <row r="916" ht="15.75" customHeight="1">
      <c r="B916" s="5"/>
      <c r="F916" s="60"/>
      <c r="G916" s="60"/>
      <c r="H916" s="60"/>
      <c r="O916" s="61"/>
      <c r="X916" s="61"/>
      <c r="AB916" s="10"/>
    </row>
    <row r="917" ht="15.75" customHeight="1">
      <c r="B917" s="5"/>
      <c r="F917" s="60"/>
      <c r="G917" s="60"/>
      <c r="H917" s="60"/>
      <c r="O917" s="61"/>
      <c r="X917" s="61"/>
      <c r="AB917" s="10"/>
    </row>
    <row r="918" ht="15.75" customHeight="1">
      <c r="B918" s="5"/>
      <c r="F918" s="60"/>
      <c r="G918" s="60"/>
      <c r="H918" s="60"/>
      <c r="O918" s="61"/>
      <c r="X918" s="61"/>
      <c r="AB918" s="10"/>
    </row>
    <row r="919" ht="15.75" customHeight="1">
      <c r="B919" s="5"/>
      <c r="F919" s="60"/>
      <c r="G919" s="60"/>
      <c r="H919" s="60"/>
      <c r="O919" s="61"/>
      <c r="X919" s="61"/>
      <c r="AB919" s="10"/>
    </row>
    <row r="920" ht="15.75" customHeight="1">
      <c r="B920" s="5"/>
      <c r="F920" s="60"/>
      <c r="G920" s="60"/>
      <c r="H920" s="60"/>
      <c r="O920" s="61"/>
      <c r="X920" s="61"/>
      <c r="AB920" s="10"/>
    </row>
    <row r="921" ht="15.75" customHeight="1">
      <c r="B921" s="5"/>
      <c r="F921" s="60"/>
      <c r="G921" s="60"/>
      <c r="H921" s="60"/>
      <c r="O921" s="61"/>
      <c r="X921" s="61"/>
      <c r="AB921" s="10"/>
    </row>
    <row r="922" ht="15.75" customHeight="1">
      <c r="B922" s="5"/>
      <c r="F922" s="60"/>
      <c r="G922" s="60"/>
      <c r="H922" s="60"/>
      <c r="O922" s="61"/>
      <c r="X922" s="61"/>
      <c r="AB922" s="10"/>
    </row>
    <row r="923" ht="15.75" customHeight="1">
      <c r="B923" s="5"/>
      <c r="F923" s="60"/>
      <c r="G923" s="60"/>
      <c r="H923" s="60"/>
      <c r="O923" s="61"/>
      <c r="X923" s="61"/>
      <c r="AB923" s="10"/>
    </row>
    <row r="924" ht="15.75" customHeight="1">
      <c r="B924" s="5"/>
      <c r="F924" s="60"/>
      <c r="G924" s="60"/>
      <c r="H924" s="60"/>
      <c r="O924" s="61"/>
      <c r="X924" s="61"/>
      <c r="AB924" s="10"/>
    </row>
    <row r="925" ht="15.75" customHeight="1">
      <c r="B925" s="5"/>
      <c r="F925" s="60"/>
      <c r="G925" s="60"/>
      <c r="H925" s="60"/>
      <c r="O925" s="61"/>
      <c r="X925" s="61"/>
      <c r="AB925" s="10"/>
    </row>
    <row r="926" ht="15.75" customHeight="1">
      <c r="B926" s="5"/>
      <c r="F926" s="60"/>
      <c r="G926" s="60"/>
      <c r="H926" s="60"/>
      <c r="O926" s="61"/>
      <c r="X926" s="61"/>
      <c r="AB926" s="10"/>
    </row>
    <row r="927" ht="15.75" customHeight="1">
      <c r="B927" s="5"/>
      <c r="F927" s="60"/>
      <c r="G927" s="60"/>
      <c r="H927" s="60"/>
      <c r="O927" s="61"/>
      <c r="X927" s="61"/>
      <c r="AB927" s="10"/>
    </row>
    <row r="928" ht="15.75" customHeight="1">
      <c r="B928" s="5"/>
      <c r="F928" s="60"/>
      <c r="G928" s="60"/>
      <c r="H928" s="60"/>
      <c r="O928" s="61"/>
      <c r="X928" s="61"/>
      <c r="AB928" s="10"/>
    </row>
    <row r="929" ht="15.75" customHeight="1">
      <c r="B929" s="5"/>
      <c r="F929" s="60"/>
      <c r="G929" s="60"/>
      <c r="H929" s="60"/>
      <c r="O929" s="61"/>
      <c r="X929" s="61"/>
      <c r="AB929" s="10"/>
    </row>
    <row r="930" ht="15.75" customHeight="1">
      <c r="B930" s="5"/>
      <c r="F930" s="60"/>
      <c r="G930" s="60"/>
      <c r="H930" s="60"/>
      <c r="O930" s="61"/>
      <c r="X930" s="61"/>
      <c r="AB930" s="10"/>
    </row>
    <row r="931" ht="15.75" customHeight="1">
      <c r="B931" s="5"/>
      <c r="F931" s="60"/>
      <c r="G931" s="60"/>
      <c r="H931" s="60"/>
      <c r="O931" s="61"/>
      <c r="X931" s="61"/>
      <c r="AB931" s="10"/>
    </row>
    <row r="932" ht="15.75" customHeight="1">
      <c r="B932" s="5"/>
      <c r="F932" s="60"/>
      <c r="G932" s="60"/>
      <c r="H932" s="60"/>
      <c r="O932" s="61"/>
      <c r="X932" s="61"/>
      <c r="AB932" s="10"/>
    </row>
    <row r="933" ht="15.75" customHeight="1">
      <c r="B933" s="5"/>
      <c r="F933" s="60"/>
      <c r="G933" s="60"/>
      <c r="H933" s="60"/>
      <c r="O933" s="61"/>
      <c r="X933" s="61"/>
      <c r="AB933" s="10"/>
    </row>
    <row r="934" ht="15.75" customHeight="1">
      <c r="B934" s="5"/>
      <c r="F934" s="60"/>
      <c r="G934" s="60"/>
      <c r="H934" s="60"/>
      <c r="O934" s="61"/>
      <c r="X934" s="61"/>
      <c r="AB934" s="10"/>
    </row>
    <row r="935" ht="15.75" customHeight="1">
      <c r="B935" s="5"/>
      <c r="F935" s="60"/>
      <c r="G935" s="60"/>
      <c r="H935" s="60"/>
      <c r="O935" s="61"/>
      <c r="X935" s="61"/>
      <c r="AB935" s="10"/>
    </row>
    <row r="936" ht="15.75" customHeight="1">
      <c r="B936" s="5"/>
      <c r="F936" s="60"/>
      <c r="G936" s="60"/>
      <c r="H936" s="60"/>
      <c r="O936" s="61"/>
      <c r="X936" s="61"/>
      <c r="AB936" s="10"/>
    </row>
    <row r="937" ht="15.75" customHeight="1">
      <c r="B937" s="5"/>
      <c r="F937" s="60"/>
      <c r="G937" s="60"/>
      <c r="H937" s="60"/>
      <c r="O937" s="61"/>
      <c r="X937" s="61"/>
      <c r="AB937" s="10"/>
    </row>
    <row r="938" ht="15.75" customHeight="1">
      <c r="B938" s="5"/>
      <c r="F938" s="60"/>
      <c r="G938" s="60"/>
      <c r="H938" s="60"/>
      <c r="O938" s="61"/>
      <c r="X938" s="61"/>
      <c r="AB938" s="10"/>
    </row>
    <row r="939" ht="15.75" customHeight="1">
      <c r="B939" s="5"/>
      <c r="F939" s="60"/>
      <c r="G939" s="60"/>
      <c r="H939" s="60"/>
      <c r="O939" s="61"/>
      <c r="X939" s="61"/>
      <c r="AB939" s="10"/>
    </row>
    <row r="940" ht="15.75" customHeight="1">
      <c r="B940" s="5"/>
      <c r="F940" s="60"/>
      <c r="G940" s="60"/>
      <c r="H940" s="60"/>
      <c r="O940" s="61"/>
      <c r="X940" s="61"/>
      <c r="AB940" s="10"/>
    </row>
    <row r="941" ht="15.75" customHeight="1">
      <c r="B941" s="5"/>
      <c r="F941" s="60"/>
      <c r="G941" s="60"/>
      <c r="H941" s="60"/>
      <c r="O941" s="61"/>
      <c r="X941" s="61"/>
      <c r="AB941" s="10"/>
    </row>
    <row r="942" ht="15.75" customHeight="1">
      <c r="B942" s="5"/>
      <c r="F942" s="60"/>
      <c r="G942" s="60"/>
      <c r="H942" s="60"/>
      <c r="O942" s="61"/>
      <c r="X942" s="61"/>
      <c r="AB942" s="10"/>
    </row>
    <row r="943" ht="15.75" customHeight="1">
      <c r="B943" s="5"/>
      <c r="F943" s="60"/>
      <c r="G943" s="60"/>
      <c r="H943" s="60"/>
      <c r="O943" s="61"/>
      <c r="X943" s="61"/>
      <c r="AB943" s="10"/>
    </row>
    <row r="944" ht="15.75" customHeight="1">
      <c r="B944" s="5"/>
      <c r="F944" s="60"/>
      <c r="G944" s="60"/>
      <c r="H944" s="60"/>
      <c r="O944" s="61"/>
      <c r="X944" s="61"/>
      <c r="AB944" s="10"/>
    </row>
    <row r="945" ht="15.75" customHeight="1">
      <c r="B945" s="5"/>
      <c r="F945" s="60"/>
      <c r="G945" s="60"/>
      <c r="H945" s="60"/>
      <c r="O945" s="61"/>
      <c r="X945" s="61"/>
      <c r="AB945" s="10"/>
    </row>
    <row r="946" ht="15.75" customHeight="1">
      <c r="B946" s="5"/>
      <c r="F946" s="60"/>
      <c r="G946" s="60"/>
      <c r="H946" s="60"/>
      <c r="O946" s="61"/>
      <c r="X946" s="61"/>
      <c r="AB946" s="10"/>
    </row>
    <row r="947" ht="15.75" customHeight="1">
      <c r="B947" s="5"/>
      <c r="F947" s="60"/>
      <c r="G947" s="60"/>
      <c r="H947" s="60"/>
      <c r="O947" s="61"/>
      <c r="X947" s="61"/>
      <c r="AB947" s="10"/>
    </row>
    <row r="948" ht="15.75" customHeight="1">
      <c r="B948" s="5"/>
      <c r="F948" s="60"/>
      <c r="G948" s="60"/>
      <c r="H948" s="60"/>
      <c r="O948" s="61"/>
      <c r="X948" s="61"/>
      <c r="AB948" s="10"/>
    </row>
    <row r="949" ht="15.75" customHeight="1">
      <c r="B949" s="5"/>
      <c r="F949" s="60"/>
      <c r="G949" s="60"/>
      <c r="H949" s="60"/>
      <c r="O949" s="61"/>
      <c r="X949" s="61"/>
      <c r="AB949" s="10"/>
    </row>
    <row r="950" ht="15.75" customHeight="1">
      <c r="B950" s="5"/>
      <c r="F950" s="60"/>
      <c r="G950" s="60"/>
      <c r="H950" s="60"/>
      <c r="O950" s="61"/>
      <c r="X950" s="61"/>
      <c r="AB950" s="10"/>
    </row>
    <row r="951" ht="15.75" customHeight="1">
      <c r="B951" s="5"/>
      <c r="F951" s="60"/>
      <c r="G951" s="60"/>
      <c r="H951" s="60"/>
      <c r="O951" s="61"/>
      <c r="X951" s="61"/>
      <c r="AB951" s="10"/>
    </row>
    <row r="952" ht="15.75" customHeight="1">
      <c r="B952" s="5"/>
      <c r="F952" s="60"/>
      <c r="G952" s="60"/>
      <c r="H952" s="60"/>
      <c r="O952" s="61"/>
      <c r="X952" s="61"/>
      <c r="AB952" s="10"/>
    </row>
    <row r="953" ht="15.75" customHeight="1">
      <c r="B953" s="5"/>
      <c r="F953" s="60"/>
      <c r="G953" s="60"/>
      <c r="H953" s="60"/>
      <c r="O953" s="61"/>
      <c r="X953" s="61"/>
      <c r="AB953" s="10"/>
    </row>
    <row r="954" ht="15.75" customHeight="1">
      <c r="B954" s="5"/>
      <c r="F954" s="60"/>
      <c r="G954" s="60"/>
      <c r="H954" s="60"/>
      <c r="O954" s="61"/>
      <c r="X954" s="61"/>
      <c r="AB954" s="10"/>
    </row>
    <row r="955" ht="15.75" customHeight="1">
      <c r="B955" s="5"/>
      <c r="F955" s="60"/>
      <c r="G955" s="60"/>
      <c r="H955" s="60"/>
      <c r="O955" s="61"/>
      <c r="X955" s="61"/>
      <c r="AB955" s="10"/>
    </row>
    <row r="956" ht="15.75" customHeight="1">
      <c r="B956" s="5"/>
      <c r="F956" s="60"/>
      <c r="G956" s="60"/>
      <c r="H956" s="60"/>
      <c r="O956" s="61"/>
      <c r="X956" s="61"/>
      <c r="AB956" s="10"/>
    </row>
    <row r="957" ht="15.75" customHeight="1">
      <c r="B957" s="5"/>
      <c r="F957" s="60"/>
      <c r="G957" s="60"/>
      <c r="H957" s="60"/>
      <c r="O957" s="61"/>
      <c r="X957" s="61"/>
      <c r="AB957" s="10"/>
    </row>
    <row r="958" ht="15.75" customHeight="1">
      <c r="B958" s="5"/>
      <c r="F958" s="60"/>
      <c r="G958" s="60"/>
      <c r="H958" s="60"/>
      <c r="O958" s="61"/>
      <c r="X958" s="61"/>
      <c r="AB958" s="10"/>
    </row>
    <row r="959" ht="15.75" customHeight="1">
      <c r="B959" s="5"/>
      <c r="F959" s="60"/>
      <c r="G959" s="60"/>
      <c r="H959" s="60"/>
      <c r="O959" s="61"/>
      <c r="X959" s="61"/>
      <c r="AB959" s="10"/>
    </row>
    <row r="960" ht="15.75" customHeight="1">
      <c r="B960" s="5"/>
      <c r="F960" s="60"/>
      <c r="G960" s="60"/>
      <c r="H960" s="60"/>
      <c r="O960" s="61"/>
      <c r="X960" s="61"/>
      <c r="AB960" s="10"/>
    </row>
    <row r="961" ht="15.75" customHeight="1">
      <c r="B961" s="5"/>
      <c r="F961" s="60"/>
      <c r="G961" s="60"/>
      <c r="H961" s="60"/>
      <c r="O961" s="61"/>
      <c r="X961" s="61"/>
      <c r="AB961" s="10"/>
    </row>
    <row r="962" ht="15.75" customHeight="1">
      <c r="B962" s="5"/>
      <c r="F962" s="60"/>
      <c r="G962" s="60"/>
      <c r="H962" s="60"/>
      <c r="O962" s="61"/>
      <c r="X962" s="61"/>
      <c r="AB962" s="10"/>
    </row>
    <row r="963" ht="15.75" customHeight="1">
      <c r="B963" s="5"/>
      <c r="F963" s="60"/>
      <c r="G963" s="60"/>
      <c r="H963" s="60"/>
      <c r="O963" s="61"/>
      <c r="X963" s="61"/>
      <c r="AB963" s="10"/>
    </row>
    <row r="964" ht="15.75" customHeight="1">
      <c r="B964" s="5"/>
      <c r="F964" s="60"/>
      <c r="G964" s="60"/>
      <c r="H964" s="60"/>
      <c r="O964" s="61"/>
      <c r="X964" s="61"/>
      <c r="AB964" s="10"/>
    </row>
    <row r="965" ht="15.75" customHeight="1">
      <c r="B965" s="5"/>
      <c r="F965" s="60"/>
      <c r="G965" s="60"/>
      <c r="H965" s="60"/>
      <c r="O965" s="61"/>
      <c r="X965" s="61"/>
      <c r="AB965" s="10"/>
    </row>
    <row r="966" ht="15.75" customHeight="1">
      <c r="B966" s="5"/>
      <c r="F966" s="60"/>
      <c r="G966" s="60"/>
      <c r="H966" s="60"/>
      <c r="O966" s="61"/>
      <c r="X966" s="61"/>
      <c r="AB966" s="10"/>
    </row>
    <row r="967" ht="15.75" customHeight="1">
      <c r="B967" s="5"/>
      <c r="F967" s="60"/>
      <c r="G967" s="60"/>
      <c r="H967" s="60"/>
      <c r="O967" s="61"/>
      <c r="X967" s="61"/>
      <c r="AB967" s="10"/>
    </row>
    <row r="968" ht="15.75" customHeight="1">
      <c r="B968" s="5"/>
      <c r="F968" s="60"/>
      <c r="G968" s="60"/>
      <c r="H968" s="60"/>
      <c r="O968" s="61"/>
      <c r="X968" s="61"/>
      <c r="AB968" s="10"/>
    </row>
    <row r="969" ht="15.75" customHeight="1">
      <c r="B969" s="5"/>
      <c r="F969" s="60"/>
      <c r="G969" s="60"/>
      <c r="H969" s="60"/>
      <c r="O969" s="61"/>
      <c r="X969" s="61"/>
      <c r="AB969" s="10"/>
    </row>
    <row r="970" ht="15.75" customHeight="1">
      <c r="B970" s="5"/>
      <c r="F970" s="60"/>
      <c r="G970" s="60"/>
      <c r="H970" s="60"/>
      <c r="O970" s="61"/>
      <c r="X970" s="61"/>
      <c r="AB970" s="10"/>
    </row>
    <row r="971" ht="15.75" customHeight="1">
      <c r="B971" s="5"/>
      <c r="F971" s="60"/>
      <c r="G971" s="60"/>
      <c r="H971" s="60"/>
      <c r="O971" s="61"/>
      <c r="X971" s="61"/>
      <c r="AB971" s="10"/>
    </row>
    <row r="972" ht="15.75" customHeight="1">
      <c r="B972" s="5"/>
      <c r="F972" s="60"/>
      <c r="G972" s="60"/>
      <c r="H972" s="60"/>
      <c r="O972" s="61"/>
      <c r="X972" s="61"/>
      <c r="AB972" s="10"/>
    </row>
    <row r="973" ht="15.75" customHeight="1">
      <c r="B973" s="5"/>
      <c r="F973" s="60"/>
      <c r="G973" s="60"/>
      <c r="H973" s="60"/>
      <c r="O973" s="61"/>
      <c r="X973" s="61"/>
      <c r="AB973" s="10"/>
    </row>
    <row r="974" ht="15.75" customHeight="1">
      <c r="B974" s="5"/>
      <c r="F974" s="60"/>
      <c r="G974" s="60"/>
      <c r="H974" s="60"/>
      <c r="O974" s="61"/>
      <c r="X974" s="61"/>
      <c r="AB974" s="10"/>
    </row>
    <row r="975" ht="15.75" customHeight="1">
      <c r="B975" s="5"/>
      <c r="F975" s="60"/>
      <c r="G975" s="60"/>
      <c r="H975" s="60"/>
      <c r="O975" s="61"/>
      <c r="X975" s="61"/>
      <c r="AB975" s="10"/>
    </row>
    <row r="976" ht="15.75" customHeight="1">
      <c r="B976" s="5"/>
      <c r="F976" s="60"/>
      <c r="G976" s="60"/>
      <c r="H976" s="60"/>
      <c r="O976" s="61"/>
      <c r="X976" s="61"/>
      <c r="AB976" s="10"/>
    </row>
    <row r="977" ht="15.75" customHeight="1">
      <c r="B977" s="5"/>
      <c r="F977" s="60"/>
      <c r="G977" s="60"/>
      <c r="H977" s="60"/>
      <c r="O977" s="61"/>
      <c r="X977" s="61"/>
      <c r="AB977" s="10"/>
    </row>
    <row r="978" ht="15.75" customHeight="1">
      <c r="B978" s="5"/>
      <c r="F978" s="60"/>
      <c r="G978" s="60"/>
      <c r="H978" s="60"/>
      <c r="O978" s="61"/>
      <c r="X978" s="61"/>
      <c r="AB978" s="10"/>
    </row>
    <row r="979" ht="15.75" customHeight="1">
      <c r="B979" s="5"/>
      <c r="F979" s="60"/>
      <c r="G979" s="60"/>
      <c r="H979" s="60"/>
      <c r="O979" s="61"/>
      <c r="X979" s="61"/>
      <c r="AB979" s="10"/>
    </row>
    <row r="980" ht="15.75" customHeight="1">
      <c r="B980" s="5"/>
      <c r="F980" s="60"/>
      <c r="G980" s="60"/>
      <c r="H980" s="60"/>
      <c r="O980" s="61"/>
      <c r="X980" s="61"/>
      <c r="AB980" s="10"/>
    </row>
    <row r="981" ht="15.75" customHeight="1">
      <c r="B981" s="5"/>
      <c r="F981" s="60"/>
      <c r="G981" s="60"/>
      <c r="H981" s="60"/>
      <c r="O981" s="61"/>
      <c r="X981" s="61"/>
      <c r="AB981" s="10"/>
    </row>
    <row r="982" ht="15.75" customHeight="1">
      <c r="B982" s="5"/>
      <c r="F982" s="60"/>
      <c r="G982" s="60"/>
      <c r="H982" s="60"/>
      <c r="O982" s="61"/>
      <c r="X982" s="61"/>
      <c r="AB982" s="10"/>
    </row>
    <row r="983" ht="15.75" customHeight="1">
      <c r="B983" s="5"/>
      <c r="F983" s="60"/>
      <c r="G983" s="60"/>
      <c r="H983" s="60"/>
      <c r="O983" s="61"/>
      <c r="X983" s="61"/>
      <c r="AB983" s="10"/>
    </row>
    <row r="984" ht="15.75" customHeight="1">
      <c r="B984" s="5"/>
      <c r="F984" s="60"/>
      <c r="G984" s="60"/>
      <c r="H984" s="60"/>
      <c r="O984" s="61"/>
      <c r="X984" s="61"/>
      <c r="AB984" s="10"/>
    </row>
    <row r="985" ht="15.75" customHeight="1">
      <c r="B985" s="5"/>
      <c r="F985" s="60"/>
      <c r="G985" s="60"/>
      <c r="H985" s="60"/>
      <c r="O985" s="61"/>
      <c r="X985" s="61"/>
      <c r="AB985" s="10"/>
    </row>
    <row r="986" ht="15.75" customHeight="1">
      <c r="B986" s="5"/>
      <c r="F986" s="60"/>
      <c r="G986" s="60"/>
      <c r="H986" s="60"/>
      <c r="O986" s="61"/>
      <c r="X986" s="61"/>
      <c r="AB986" s="10"/>
    </row>
    <row r="987" ht="15.75" customHeight="1">
      <c r="B987" s="5"/>
      <c r="F987" s="60"/>
      <c r="G987" s="60"/>
      <c r="H987" s="60"/>
      <c r="O987" s="61"/>
      <c r="X987" s="61"/>
      <c r="AB987" s="10"/>
    </row>
    <row r="988" ht="15.75" customHeight="1">
      <c r="B988" s="5"/>
      <c r="F988" s="60"/>
      <c r="G988" s="60"/>
      <c r="H988" s="60"/>
      <c r="O988" s="61"/>
      <c r="X988" s="61"/>
      <c r="AB988" s="10"/>
    </row>
    <row r="989" ht="15.75" customHeight="1">
      <c r="B989" s="5"/>
      <c r="F989" s="60"/>
      <c r="G989" s="60"/>
      <c r="H989" s="60"/>
      <c r="O989" s="61"/>
      <c r="X989" s="61"/>
      <c r="AB989" s="10"/>
    </row>
    <row r="990" ht="15.75" customHeight="1">
      <c r="B990" s="5"/>
      <c r="F990" s="60"/>
      <c r="G990" s="60"/>
      <c r="H990" s="60"/>
      <c r="O990" s="61"/>
      <c r="X990" s="61"/>
      <c r="AB990" s="10"/>
    </row>
    <row r="991" ht="15.75" customHeight="1">
      <c r="B991" s="5"/>
      <c r="F991" s="60"/>
      <c r="G991" s="60"/>
      <c r="H991" s="60"/>
      <c r="O991" s="61"/>
      <c r="X991" s="61"/>
      <c r="AB991" s="10"/>
    </row>
    <row r="992" ht="15.75" customHeight="1">
      <c r="B992" s="5"/>
      <c r="F992" s="60"/>
      <c r="G992" s="60"/>
      <c r="H992" s="60"/>
      <c r="O992" s="61"/>
      <c r="X992" s="61"/>
      <c r="AB992" s="10"/>
    </row>
    <row r="993" ht="15.75" customHeight="1">
      <c r="B993" s="5"/>
      <c r="F993" s="60"/>
      <c r="G993" s="60"/>
      <c r="H993" s="60"/>
      <c r="O993" s="61"/>
      <c r="X993" s="61"/>
      <c r="AB993" s="10"/>
    </row>
    <row r="994" ht="15.75" customHeight="1">
      <c r="B994" s="5"/>
      <c r="F994" s="60"/>
      <c r="G994" s="60"/>
      <c r="H994" s="60"/>
      <c r="O994" s="61"/>
      <c r="X994" s="61"/>
      <c r="AB994" s="10"/>
    </row>
    <row r="995" ht="15.75" customHeight="1">
      <c r="B995" s="5"/>
      <c r="F995" s="60"/>
      <c r="G995" s="60"/>
      <c r="H995" s="60"/>
      <c r="O995" s="61"/>
      <c r="X995" s="61"/>
      <c r="AB995" s="10"/>
    </row>
    <row r="996" ht="15.75" customHeight="1">
      <c r="B996" s="5"/>
      <c r="F996" s="60"/>
      <c r="G996" s="60"/>
      <c r="H996" s="60"/>
      <c r="O996" s="61"/>
      <c r="X996" s="61"/>
      <c r="AB996" s="10"/>
    </row>
    <row r="997" ht="15.75" customHeight="1">
      <c r="B997" s="5"/>
      <c r="F997" s="60"/>
      <c r="G997" s="60"/>
      <c r="H997" s="60"/>
      <c r="O997" s="61"/>
      <c r="X997" s="61"/>
      <c r="AB997" s="10"/>
    </row>
    <row r="998" ht="15.75" customHeight="1">
      <c r="B998" s="5"/>
      <c r="F998" s="60"/>
      <c r="G998" s="60"/>
      <c r="H998" s="60"/>
      <c r="O998" s="61"/>
      <c r="X998" s="61"/>
      <c r="AB998" s="10"/>
    </row>
    <row r="999" ht="15.75" customHeight="1">
      <c r="B999" s="5"/>
      <c r="F999" s="60"/>
      <c r="G999" s="60"/>
      <c r="H999" s="60"/>
      <c r="O999" s="61"/>
      <c r="X999" s="61"/>
      <c r="AB999" s="10"/>
    </row>
    <row r="1000" ht="15.75" customHeight="1">
      <c r="B1000" s="5"/>
      <c r="F1000" s="60"/>
      <c r="G1000" s="60"/>
      <c r="H1000" s="60"/>
      <c r="O1000" s="61"/>
      <c r="X1000" s="61"/>
      <c r="AB1000" s="10"/>
    </row>
  </sheetData>
  <mergeCells count="68">
    <mergeCell ref="B50:E50"/>
    <mergeCell ref="C51:E51"/>
    <mergeCell ref="F51:H51"/>
    <mergeCell ref="I51:K51"/>
    <mergeCell ref="L51:N51"/>
    <mergeCell ref="P51:R51"/>
    <mergeCell ref="U51:W51"/>
    <mergeCell ref="B58:E58"/>
    <mergeCell ref="C59:E59"/>
    <mergeCell ref="F59:H59"/>
    <mergeCell ref="I59:K59"/>
    <mergeCell ref="L59:N59"/>
    <mergeCell ref="P59:R59"/>
    <mergeCell ref="U59:W59"/>
    <mergeCell ref="B68:E68"/>
    <mergeCell ref="C70:E70"/>
    <mergeCell ref="F70:H70"/>
    <mergeCell ref="I70:K70"/>
    <mergeCell ref="L70:N70"/>
    <mergeCell ref="P70:R70"/>
    <mergeCell ref="U70:W70"/>
    <mergeCell ref="B77:E77"/>
    <mergeCell ref="C78:E78"/>
    <mergeCell ref="F78:H78"/>
    <mergeCell ref="I78:K78"/>
    <mergeCell ref="L78:N78"/>
    <mergeCell ref="P78:R78"/>
    <mergeCell ref="U78:W78"/>
    <mergeCell ref="L14:N14"/>
    <mergeCell ref="P14:R14"/>
    <mergeCell ref="K1:M1"/>
    <mergeCell ref="Q1:S1"/>
    <mergeCell ref="W1:Y1"/>
    <mergeCell ref="W10:X10"/>
    <mergeCell ref="P11:R11"/>
    <mergeCell ref="B12:E12"/>
    <mergeCell ref="C14:E14"/>
    <mergeCell ref="U14:W14"/>
    <mergeCell ref="P23:R23"/>
    <mergeCell ref="U23:W23"/>
    <mergeCell ref="F14:H14"/>
    <mergeCell ref="I14:K14"/>
    <mergeCell ref="B21:E21"/>
    <mergeCell ref="C23:E23"/>
    <mergeCell ref="F23:H23"/>
    <mergeCell ref="I23:K23"/>
    <mergeCell ref="L23:N23"/>
    <mergeCell ref="B30:E30"/>
    <mergeCell ref="C32:E32"/>
    <mergeCell ref="F32:H32"/>
    <mergeCell ref="I32:K32"/>
    <mergeCell ref="L32:N32"/>
    <mergeCell ref="P32:R32"/>
    <mergeCell ref="U32:W32"/>
    <mergeCell ref="B41:E41"/>
    <mergeCell ref="C43:E43"/>
    <mergeCell ref="F43:H43"/>
    <mergeCell ref="I43:K43"/>
    <mergeCell ref="L43:N43"/>
    <mergeCell ref="P43:R43"/>
    <mergeCell ref="U43:W43"/>
    <mergeCell ref="B85:E85"/>
    <mergeCell ref="C86:E86"/>
    <mergeCell ref="F86:H86"/>
    <mergeCell ref="I86:K86"/>
    <mergeCell ref="L86:N86"/>
    <mergeCell ref="P86:R86"/>
    <mergeCell ref="U86:W8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8.14"/>
    <col customWidth="1" min="4" max="4" width="17.14"/>
    <col customWidth="1" min="5" max="5" width="13.29"/>
    <col customWidth="1" min="6" max="6" width="13.57"/>
    <col customWidth="1" min="7" max="7" width="17.14"/>
    <col customWidth="1" min="8" max="8" width="13.29"/>
    <col customWidth="1" min="9" max="9" width="14.0"/>
    <col customWidth="1" min="10" max="10" width="17.0"/>
    <col customWidth="1" min="11" max="11" width="13.29"/>
    <col customWidth="1" min="12" max="12" width="10.29"/>
    <col customWidth="1" min="13" max="13" width="12.14"/>
    <col customWidth="1" min="14" max="16" width="12.0"/>
    <col customWidth="1" min="17" max="25" width="8.71"/>
    <col customWidth="1" min="26" max="26" width="10.29"/>
    <col customWidth="1" min="27" max="27" width="13.43"/>
    <col customWidth="1" min="28" max="28" width="12.71"/>
    <col customWidth="1" min="29" max="30" width="13.29"/>
    <col customWidth="1" min="31" max="31" width="12.57"/>
    <col customWidth="1" min="32" max="33" width="13.29"/>
    <col customWidth="1" min="34" max="34" width="12.57"/>
    <col customWidth="1" min="35" max="35" width="13.86"/>
    <col customWidth="1" min="36" max="36" width="10.86"/>
    <col customWidth="1" min="37" max="37" width="10.0"/>
    <col customWidth="1" min="38" max="38" width="18.57"/>
    <col customWidth="1" min="39" max="40" width="10.29"/>
    <col customWidth="1" min="41" max="49" width="8.71"/>
    <col customWidth="1" min="50" max="50" width="11.29"/>
    <col customWidth="1" min="51" max="51" width="13.71"/>
    <col customWidth="1" min="52" max="52" width="12.71"/>
    <col customWidth="1" min="53" max="54" width="13.43"/>
    <col customWidth="1" min="55" max="55" width="12.71"/>
    <col customWidth="1" min="56" max="56" width="13.43"/>
    <col customWidth="1" min="57" max="57" width="14.14"/>
    <col customWidth="1" min="58" max="58" width="12.71"/>
    <col customWidth="1" min="59" max="59" width="13.71"/>
    <col customWidth="1" min="60" max="60" width="11.57"/>
    <col customWidth="1" min="61" max="61" width="12.14"/>
    <col customWidth="1" min="62" max="63" width="12.0"/>
    <col customWidth="1" min="64" max="73" width="8.71"/>
  </cols>
  <sheetData>
    <row r="1">
      <c r="B1" s="158" t="s">
        <v>196</v>
      </c>
      <c r="C1" s="159" t="s">
        <v>550</v>
      </c>
      <c r="D1" s="159" t="s">
        <v>551</v>
      </c>
      <c r="E1" s="160" t="s">
        <v>552</v>
      </c>
      <c r="F1" s="158" t="s">
        <v>196</v>
      </c>
      <c r="G1" s="159" t="s">
        <v>555</v>
      </c>
      <c r="H1" s="159" t="s">
        <v>556</v>
      </c>
      <c r="I1" s="160" t="s">
        <v>558</v>
      </c>
      <c r="J1" s="161" t="s">
        <v>196</v>
      </c>
      <c r="K1" s="159" t="s">
        <v>561</v>
      </c>
      <c r="L1" s="159" t="s">
        <v>563</v>
      </c>
      <c r="M1" s="160" t="s">
        <v>564</v>
      </c>
      <c r="Z1" s="158" t="s">
        <v>196</v>
      </c>
      <c r="AA1" s="159" t="s">
        <v>568</v>
      </c>
      <c r="AB1" s="159" t="s">
        <v>569</v>
      </c>
      <c r="AC1" s="160" t="s">
        <v>571</v>
      </c>
      <c r="AD1" s="158" t="s">
        <v>196</v>
      </c>
      <c r="AE1" s="159" t="s">
        <v>572</v>
      </c>
      <c r="AF1" s="159" t="s">
        <v>574</v>
      </c>
      <c r="AG1" s="160" t="s">
        <v>575</v>
      </c>
      <c r="AH1" s="158" t="s">
        <v>196</v>
      </c>
      <c r="AI1" s="159" t="s">
        <v>576</v>
      </c>
      <c r="AJ1" s="159" t="s">
        <v>578</v>
      </c>
      <c r="AK1" s="160" t="s">
        <v>579</v>
      </c>
      <c r="AX1" s="166" t="s">
        <v>196</v>
      </c>
      <c r="AY1" s="167" t="s">
        <v>580</v>
      </c>
      <c r="AZ1" s="167" t="s">
        <v>581</v>
      </c>
      <c r="BA1" s="168" t="s">
        <v>582</v>
      </c>
      <c r="BB1" s="166" t="s">
        <v>196</v>
      </c>
      <c r="BC1" s="167" t="s">
        <v>583</v>
      </c>
      <c r="BD1" s="167" t="s">
        <v>584</v>
      </c>
      <c r="BE1" s="168" t="s">
        <v>585</v>
      </c>
      <c r="BF1" s="166" t="s">
        <v>196</v>
      </c>
      <c r="BG1" s="167" t="s">
        <v>586</v>
      </c>
      <c r="BH1" s="167" t="s">
        <v>587</v>
      </c>
      <c r="BI1" s="168" t="s">
        <v>588</v>
      </c>
    </row>
    <row r="2">
      <c r="B2" s="169">
        <f>1/0.0014</f>
        <v>714.2857143</v>
      </c>
      <c r="C2" s="170">
        <f>1/(B2*0.506)</f>
        <v>0.002766798419</v>
      </c>
      <c r="D2" s="170"/>
      <c r="E2" s="366">
        <v>0.0286</v>
      </c>
      <c r="F2" s="169">
        <f>1/0.0205</f>
        <v>48.7804878</v>
      </c>
      <c r="G2" s="170">
        <f>1/(F2*0.3391)</f>
        <v>0.06045414332</v>
      </c>
      <c r="H2" s="170"/>
      <c r="I2" s="170">
        <v>0.9974</v>
      </c>
      <c r="J2" s="173">
        <f>1/0.2804</f>
        <v>3.566333809</v>
      </c>
      <c r="K2" s="367">
        <f>1/(J2*(-19.06))</f>
        <v>-0.01471143757</v>
      </c>
      <c r="L2" s="170"/>
      <c r="M2" s="174">
        <v>0.8286</v>
      </c>
      <c r="Z2" s="169">
        <f>1/0.0169</f>
        <v>59.17159763</v>
      </c>
      <c r="AA2" s="170">
        <f>1/(Z2*0.2332)</f>
        <v>0.07246998285</v>
      </c>
      <c r="AB2" s="170"/>
      <c r="AC2" s="170">
        <v>0.9986</v>
      </c>
      <c r="AD2" s="169">
        <f>1/0.055</f>
        <v>18.18181818</v>
      </c>
      <c r="AE2" s="367">
        <f>1/(AD2*(-0.7453))</f>
        <v>-0.07379578693</v>
      </c>
      <c r="AF2" s="170"/>
      <c r="AG2" s="170">
        <v>0.9716</v>
      </c>
      <c r="AH2" s="169">
        <f>1/0.0679</f>
        <v>14.7275405</v>
      </c>
      <c r="AI2" s="367">
        <f>1/(AH2*(-1.1732))</f>
        <v>-0.05787589499</v>
      </c>
      <c r="AJ2" s="170"/>
      <c r="AK2" s="170">
        <v>0.9851</v>
      </c>
      <c r="AX2" s="169">
        <f>1/0.0151</f>
        <v>66.22516556</v>
      </c>
      <c r="AY2" s="170">
        <f>1/(AX2*0.4743)</f>
        <v>0.03183639047</v>
      </c>
      <c r="AZ2" s="170"/>
      <c r="BA2" s="170">
        <v>0.9459</v>
      </c>
      <c r="BB2" s="169">
        <f>1/0.0187</f>
        <v>53.47593583</v>
      </c>
      <c r="BC2" s="170">
        <f>1/(BB2*0.4958)</f>
        <v>0.0377168213</v>
      </c>
      <c r="BD2" s="170"/>
      <c r="BE2" s="170">
        <v>0.9886</v>
      </c>
      <c r="BF2" s="169">
        <f>1/0.3229</f>
        <v>3.096934035</v>
      </c>
      <c r="BG2" s="367">
        <f>1/(BF2*(-23.196))</f>
        <v>-0.01392050354</v>
      </c>
      <c r="BH2" s="170"/>
      <c r="BI2" s="170">
        <v>0.7886</v>
      </c>
    </row>
    <row r="3">
      <c r="A3" s="147"/>
      <c r="B3" s="185" t="s">
        <v>614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2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85" t="s">
        <v>615</v>
      </c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186"/>
      <c r="AL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85" t="s">
        <v>616</v>
      </c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2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</row>
    <row r="4">
      <c r="A4" s="147"/>
      <c r="B4" s="187" t="s">
        <v>229</v>
      </c>
      <c r="C4" s="188"/>
      <c r="D4" s="188"/>
      <c r="E4" s="189"/>
      <c r="F4" s="187" t="s">
        <v>230</v>
      </c>
      <c r="G4" s="188"/>
      <c r="H4" s="188"/>
      <c r="I4" s="190"/>
      <c r="J4" s="191" t="s">
        <v>231</v>
      </c>
      <c r="K4" s="91"/>
      <c r="L4" s="91"/>
      <c r="M4" s="92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87" t="s">
        <v>229</v>
      </c>
      <c r="AA4" s="188"/>
      <c r="AB4" s="188"/>
      <c r="AC4" s="189"/>
      <c r="AD4" s="187" t="s">
        <v>230</v>
      </c>
      <c r="AE4" s="188"/>
      <c r="AF4" s="188"/>
      <c r="AG4" s="190"/>
      <c r="AH4" s="191" t="s">
        <v>231</v>
      </c>
      <c r="AI4" s="91"/>
      <c r="AJ4" s="91"/>
      <c r="AK4" s="92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87" t="s">
        <v>229</v>
      </c>
      <c r="AY4" s="188"/>
      <c r="AZ4" s="188"/>
      <c r="BA4" s="189"/>
      <c r="BB4" s="187" t="s">
        <v>230</v>
      </c>
      <c r="BC4" s="188"/>
      <c r="BD4" s="188"/>
      <c r="BE4" s="190"/>
      <c r="BF4" s="191" t="s">
        <v>231</v>
      </c>
      <c r="BG4" s="91"/>
      <c r="BH4" s="91"/>
      <c r="BI4" s="92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</row>
    <row r="5">
      <c r="A5" s="192" t="s">
        <v>168</v>
      </c>
      <c r="B5" s="166" t="s">
        <v>232</v>
      </c>
      <c r="C5" s="167" t="s">
        <v>233</v>
      </c>
      <c r="D5" s="193" t="s">
        <v>234</v>
      </c>
      <c r="E5" s="194" t="s">
        <v>171</v>
      </c>
      <c r="F5" s="166" t="s">
        <v>232</v>
      </c>
      <c r="G5" s="167" t="s">
        <v>233</v>
      </c>
      <c r="H5" s="193" t="s">
        <v>234</v>
      </c>
      <c r="I5" s="168" t="s">
        <v>171</v>
      </c>
      <c r="J5" s="166" t="s">
        <v>232</v>
      </c>
      <c r="K5" s="167" t="s">
        <v>233</v>
      </c>
      <c r="L5" s="193" t="s">
        <v>234</v>
      </c>
      <c r="M5" s="168" t="s">
        <v>171</v>
      </c>
      <c r="Y5" s="195" t="s">
        <v>168</v>
      </c>
      <c r="Z5" s="166" t="s">
        <v>232</v>
      </c>
      <c r="AA5" s="167" t="s">
        <v>233</v>
      </c>
      <c r="AB5" s="193" t="s">
        <v>234</v>
      </c>
      <c r="AC5" s="194" t="s">
        <v>171</v>
      </c>
      <c r="AD5" s="166" t="s">
        <v>232</v>
      </c>
      <c r="AE5" s="167" t="s">
        <v>233</v>
      </c>
      <c r="AF5" s="193" t="s">
        <v>234</v>
      </c>
      <c r="AG5" s="168" t="s">
        <v>171</v>
      </c>
      <c r="AH5" s="166" t="s">
        <v>232</v>
      </c>
      <c r="AI5" s="167" t="s">
        <v>233</v>
      </c>
      <c r="AJ5" s="193" t="s">
        <v>234</v>
      </c>
      <c r="AK5" s="168" t="s">
        <v>171</v>
      </c>
      <c r="AW5" s="192" t="s">
        <v>168</v>
      </c>
      <c r="AX5" s="161" t="s">
        <v>232</v>
      </c>
      <c r="AY5" s="368" t="s">
        <v>233</v>
      </c>
      <c r="AZ5" s="159" t="s">
        <v>234</v>
      </c>
      <c r="BA5" s="369" t="s">
        <v>171</v>
      </c>
      <c r="BB5" s="161" t="s">
        <v>232</v>
      </c>
      <c r="BC5" s="368" t="s">
        <v>233</v>
      </c>
      <c r="BD5" s="159" t="s">
        <v>234</v>
      </c>
      <c r="BE5" s="370" t="s">
        <v>171</v>
      </c>
      <c r="BF5" s="371" t="s">
        <v>232</v>
      </c>
      <c r="BG5" s="368" t="s">
        <v>233</v>
      </c>
      <c r="BH5" s="159" t="s">
        <v>234</v>
      </c>
      <c r="BI5" s="370" t="s">
        <v>171</v>
      </c>
    </row>
    <row r="6">
      <c r="A6" s="196">
        <v>100.0</v>
      </c>
      <c r="B6" s="151">
        <v>11.4080310880829</v>
      </c>
      <c r="C6" s="11">
        <v>17.603820865804767</v>
      </c>
      <c r="D6" s="34">
        <f t="shared" ref="D6:D9" si="1">B6/C6</f>
        <v>0.6480428979</v>
      </c>
      <c r="E6" s="24">
        <f t="shared" ref="E6:E9" si="2">$B$2*$C$2*B6/(1+$C$2*B6)</f>
        <v>21.85566969</v>
      </c>
      <c r="F6" s="151">
        <v>10.566062176165802</v>
      </c>
      <c r="G6" s="11">
        <v>17.773814572261706</v>
      </c>
      <c r="H6" s="34">
        <f t="shared" ref="H6:H9" si="3">F6/G6</f>
        <v>0.5944735236</v>
      </c>
      <c r="I6" s="201">
        <f t="shared" ref="I6:I9" si="4">$F$2*$G$2*F6/(1+$G$2*F6)</f>
        <v>19.01382203</v>
      </c>
      <c r="J6" s="151">
        <v>26.606649395509496</v>
      </c>
      <c r="K6" s="11">
        <v>14.578843905942414</v>
      </c>
      <c r="L6" s="34">
        <f t="shared" ref="L6:L9" si="5">J6/K6</f>
        <v>1.825017784</v>
      </c>
      <c r="M6" s="201">
        <f t="shared" ref="M6:M9" si="6">$J$2*$K$2*J6/(1+$K$2*J6)</f>
        <v>-2.29377643</v>
      </c>
      <c r="Y6" s="203">
        <v>100.0</v>
      </c>
      <c r="Z6" s="151">
        <v>7.306131260794473</v>
      </c>
      <c r="AA6" s="11">
        <v>18.386246492994655</v>
      </c>
      <c r="AB6" s="34">
        <f t="shared" ref="AB6:AB9" si="7">Z6/AA6</f>
        <v>0.3973693741</v>
      </c>
      <c r="AC6" s="24">
        <f t="shared" ref="AC6:AC9" si="8">$Z$2*$AA$2*Z6/(1+$AA$2*Z6)</f>
        <v>20.48408092</v>
      </c>
      <c r="AD6" s="151">
        <v>22.41839378238342</v>
      </c>
      <c r="AE6" s="11">
        <v>15.38789690482218</v>
      </c>
      <c r="AF6" s="34">
        <f t="shared" ref="AF6:AF9" si="9">AD6/AE6</f>
        <v>1.456884844</v>
      </c>
      <c r="AG6" s="24">
        <f t="shared" ref="AG6:AG9" si="10">$AD$2*$AE$2*AD6/(1+$AE$2*AD6)</f>
        <v>45.9664915</v>
      </c>
      <c r="AH6" s="151">
        <v>15.920120898100173</v>
      </c>
      <c r="AI6" s="11">
        <v>16.72212047454209</v>
      </c>
      <c r="AJ6" s="34">
        <f t="shared" ref="AJ6:AJ9" si="11">AH6/AI6</f>
        <v>0.9520396006</v>
      </c>
      <c r="AK6" s="201">
        <f t="shared" ref="AK6:AK9" si="12">$AH$2*$AI$2*AH6/(1+$AI$2*AH6)</f>
        <v>-172.6248804</v>
      </c>
      <c r="AW6" s="196">
        <v>100.0</v>
      </c>
      <c r="AX6" s="151">
        <v>15.59628670120898</v>
      </c>
      <c r="AY6" s="11">
        <v>16.800637526655716</v>
      </c>
      <c r="AZ6" s="34">
        <f t="shared" ref="AZ6:AZ9" si="13">AX6/AY6</f>
        <v>0.9283151712</v>
      </c>
      <c r="BA6" s="24">
        <f t="shared" ref="BA6:BA9" si="14">$AX$2*$AY$2*AX6/(1+$AY$2*AX6)</f>
        <v>21.97266887</v>
      </c>
      <c r="BB6" s="151">
        <v>16.179188255613123</v>
      </c>
      <c r="BC6" s="11">
        <v>16.72442502567506</v>
      </c>
      <c r="BD6" s="34">
        <f t="shared" ref="BD6:BD9" si="15">BB6/BC6</f>
        <v>0.9673987734</v>
      </c>
      <c r="BE6" s="201">
        <f t="shared" ref="BE6:BE9" si="16">$BB$2*$BC$2*BB6/(1+$BC$2*BB6)</f>
        <v>20.26576267</v>
      </c>
      <c r="BF6" s="353">
        <v>11.429620034542316</v>
      </c>
      <c r="BG6" s="11">
        <v>17.584504372552168</v>
      </c>
      <c r="BH6" s="34">
        <f t="shared" ref="BH6:BH9" si="17">BF6/BG6</f>
        <v>0.6499824955</v>
      </c>
      <c r="BI6" s="201">
        <f t="shared" ref="BI6:BI9" si="18">$BF$2*$BG$2*BF6/(1+$BG$2*BF6)</f>
        <v>-0.5859728218</v>
      </c>
    </row>
    <row r="7">
      <c r="A7" s="196">
        <v>200.0</v>
      </c>
      <c r="B7" s="151">
        <v>17.852331606217614</v>
      </c>
      <c r="C7" s="11">
        <v>35.961099852681066</v>
      </c>
      <c r="D7" s="34">
        <f t="shared" si="1"/>
        <v>0.4964345273</v>
      </c>
      <c r="E7" s="24">
        <f t="shared" si="2"/>
        <v>33.62063666</v>
      </c>
      <c r="F7" s="151">
        <v>28.139464594127805</v>
      </c>
      <c r="G7" s="11">
        <v>33.96534030472646</v>
      </c>
      <c r="H7" s="34">
        <f t="shared" si="3"/>
        <v>0.8284758622</v>
      </c>
      <c r="I7" s="201">
        <f t="shared" si="4"/>
        <v>30.72131378</v>
      </c>
      <c r="J7" s="151">
        <v>101.36917098445595</v>
      </c>
      <c r="K7" s="11">
        <v>19.635475618639155</v>
      </c>
      <c r="L7" s="34">
        <f t="shared" si="5"/>
        <v>5.162552359</v>
      </c>
      <c r="M7" s="201">
        <f t="shared" si="6"/>
        <v>10.82551103</v>
      </c>
      <c r="Y7" s="203">
        <v>200.0</v>
      </c>
      <c r="Z7" s="151">
        <v>19.352763385146805</v>
      </c>
      <c r="AA7" s="11">
        <v>35.82039089049831</v>
      </c>
      <c r="AB7" s="34">
        <f t="shared" si="7"/>
        <v>0.5402722557</v>
      </c>
      <c r="AC7" s="24">
        <f t="shared" si="8"/>
        <v>34.54236358</v>
      </c>
      <c r="AD7" s="151">
        <v>74.36139896373055</v>
      </c>
      <c r="AE7" s="11">
        <v>24.855957225441188</v>
      </c>
      <c r="AF7" s="34">
        <f t="shared" si="9"/>
        <v>2.99169323</v>
      </c>
      <c r="AG7" s="24">
        <f t="shared" si="10"/>
        <v>22.23342451</v>
      </c>
      <c r="AH7" s="151">
        <v>89.53842832469775</v>
      </c>
      <c r="AI7" s="11">
        <v>21.92964508092598</v>
      </c>
      <c r="AJ7" s="34">
        <f t="shared" si="11"/>
        <v>4.082985748</v>
      </c>
      <c r="AK7" s="201">
        <f t="shared" si="12"/>
        <v>18.2490923</v>
      </c>
      <c r="AW7" s="196">
        <v>200.0</v>
      </c>
      <c r="AX7" s="151">
        <v>30.298359240069086</v>
      </c>
      <c r="AY7" s="11">
        <v>33.73824423560817</v>
      </c>
      <c r="AZ7" s="34">
        <f t="shared" si="13"/>
        <v>0.8980419677</v>
      </c>
      <c r="BA7" s="24">
        <f t="shared" si="14"/>
        <v>32.5157645</v>
      </c>
      <c r="BB7" s="151">
        <v>33.08333333333333</v>
      </c>
      <c r="BC7" s="11">
        <v>33.25058984350675</v>
      </c>
      <c r="BD7" s="34">
        <f t="shared" si="15"/>
        <v>0.9949698183</v>
      </c>
      <c r="BE7" s="201">
        <f t="shared" si="16"/>
        <v>29.68557221</v>
      </c>
      <c r="BF7" s="353">
        <v>117.90630397236616</v>
      </c>
      <c r="BG7" s="11">
        <v>16.28552672618902</v>
      </c>
      <c r="BH7" s="34">
        <f t="shared" si="17"/>
        <v>7.239944151</v>
      </c>
      <c r="BI7" s="201">
        <f t="shared" si="18"/>
        <v>7.92597039</v>
      </c>
    </row>
    <row r="8">
      <c r="A8" s="196">
        <v>300.0</v>
      </c>
      <c r="B8" s="151">
        <v>21.803108808290155</v>
      </c>
      <c r="C8" s="11">
        <v>55.469001859093055</v>
      </c>
      <c r="D8" s="34">
        <f t="shared" si="1"/>
        <v>0.3930683459</v>
      </c>
      <c r="E8" s="24">
        <f t="shared" si="2"/>
        <v>40.63768721</v>
      </c>
      <c r="F8" s="151">
        <v>97.87176165803108</v>
      </c>
      <c r="G8" s="11">
        <v>40.16974956932511</v>
      </c>
      <c r="H8" s="34">
        <f t="shared" si="3"/>
        <v>2.436454364</v>
      </c>
      <c r="I8" s="201">
        <f t="shared" si="4"/>
        <v>41.7279757</v>
      </c>
      <c r="J8" s="151">
        <v>247.1809153713299</v>
      </c>
      <c r="K8" s="11">
        <v>10.48557970562811</v>
      </c>
      <c r="L8" s="34">
        <f t="shared" si="5"/>
        <v>23.57341438</v>
      </c>
      <c r="M8" s="201">
        <f t="shared" si="6"/>
        <v>4.919069331</v>
      </c>
      <c r="Y8" s="203">
        <v>300.0</v>
      </c>
      <c r="Z8" s="151">
        <v>54.90975820379965</v>
      </c>
      <c r="AA8" s="11">
        <v>48.79049298040561</v>
      </c>
      <c r="AB8" s="34">
        <f t="shared" si="7"/>
        <v>1.125419213</v>
      </c>
      <c r="AC8" s="24">
        <f t="shared" si="8"/>
        <v>47.28810239</v>
      </c>
      <c r="AD8" s="151">
        <v>181.98229706390327</v>
      </c>
      <c r="AE8" s="11">
        <v>23.55216850880898</v>
      </c>
      <c r="AF8" s="34">
        <f t="shared" si="9"/>
        <v>7.726774585</v>
      </c>
      <c r="AG8" s="24">
        <f t="shared" si="10"/>
        <v>19.64461065</v>
      </c>
      <c r="AH8" s="151">
        <v>211.73186528497408</v>
      </c>
      <c r="AI8" s="65">
        <v>17.52737012453615</v>
      </c>
      <c r="AJ8" s="34">
        <f t="shared" si="11"/>
        <v>12.08007041</v>
      </c>
      <c r="AK8" s="201">
        <f t="shared" si="12"/>
        <v>16.03617001</v>
      </c>
      <c r="AW8" s="196">
        <v>300.0</v>
      </c>
      <c r="AX8" s="151">
        <v>47.07297063903281</v>
      </c>
      <c r="AY8" s="11">
        <v>50.42275113807256</v>
      </c>
      <c r="AZ8" s="34">
        <f t="shared" si="13"/>
        <v>0.9335660902</v>
      </c>
      <c r="BA8" s="24">
        <f t="shared" si="14"/>
        <v>39.72061167</v>
      </c>
      <c r="BB8" s="151">
        <v>84.14119170984456</v>
      </c>
      <c r="BC8" s="11">
        <v>42.97718196155258</v>
      </c>
      <c r="BD8" s="34">
        <f t="shared" si="15"/>
        <v>1.957810817</v>
      </c>
      <c r="BE8" s="201">
        <f t="shared" si="16"/>
        <v>40.66284246</v>
      </c>
      <c r="BF8" s="353">
        <v>224.87953367875647</v>
      </c>
      <c r="BG8" s="11">
        <v>14.93491056980921</v>
      </c>
      <c r="BH8" s="34">
        <f t="shared" si="17"/>
        <v>15.05730701</v>
      </c>
      <c r="BI8" s="201">
        <f t="shared" si="18"/>
        <v>4.550595885</v>
      </c>
    </row>
    <row r="9">
      <c r="A9" s="212">
        <v>400.0</v>
      </c>
      <c r="B9" s="213">
        <v>43.69430051813471</v>
      </c>
      <c r="C9" s="214">
        <v>70.28103059685586</v>
      </c>
      <c r="D9" s="374">
        <f t="shared" si="1"/>
        <v>0.6217083066</v>
      </c>
      <c r="E9" s="375">
        <f t="shared" si="2"/>
        <v>77.03888577</v>
      </c>
      <c r="F9" s="213">
        <v>173.17400690846284</v>
      </c>
      <c r="G9" s="214">
        <v>44.8864140629349</v>
      </c>
      <c r="H9" s="374">
        <f t="shared" si="3"/>
        <v>3.858049491</v>
      </c>
      <c r="I9" s="376">
        <f t="shared" si="4"/>
        <v>44.52727296</v>
      </c>
      <c r="J9" s="213">
        <v>381.8743523316062</v>
      </c>
      <c r="K9" s="214">
        <v>3.6215080256531094</v>
      </c>
      <c r="L9" s="374">
        <f t="shared" si="5"/>
        <v>105.4462256</v>
      </c>
      <c r="M9" s="376">
        <f t="shared" si="6"/>
        <v>4.338615112</v>
      </c>
      <c r="Y9" s="216">
        <v>400.0</v>
      </c>
      <c r="Z9" s="213">
        <v>131.5289291882556</v>
      </c>
      <c r="AA9" s="214">
        <v>53.17745322683496</v>
      </c>
      <c r="AB9" s="374">
        <f t="shared" si="7"/>
        <v>2.473396547</v>
      </c>
      <c r="AC9" s="375">
        <f t="shared" si="8"/>
        <v>53.55327597</v>
      </c>
      <c r="AD9" s="213">
        <v>308.88212435233163</v>
      </c>
      <c r="AE9" s="214">
        <v>17.99819629778662</v>
      </c>
      <c r="AF9" s="374">
        <f t="shared" si="9"/>
        <v>17.16183773</v>
      </c>
      <c r="AG9" s="375">
        <f t="shared" si="10"/>
        <v>19.01606852</v>
      </c>
      <c r="AH9" s="213">
        <v>325.300518134715</v>
      </c>
      <c r="AI9" s="214">
        <v>14.898398845502712</v>
      </c>
      <c r="AJ9" s="374">
        <f t="shared" si="11"/>
        <v>21.83459589</v>
      </c>
      <c r="AK9" s="376">
        <f t="shared" si="12"/>
        <v>15.55367457</v>
      </c>
      <c r="AW9" s="212">
        <v>400.0</v>
      </c>
      <c r="AX9" s="213">
        <v>137.35794473229706</v>
      </c>
      <c r="AY9" s="214">
        <v>52.38807783847187</v>
      </c>
      <c r="AZ9" s="374">
        <f t="shared" si="13"/>
        <v>2.621931371</v>
      </c>
      <c r="BA9" s="375">
        <f t="shared" si="14"/>
        <v>53.89957507</v>
      </c>
      <c r="BB9" s="213">
        <v>171.51165803108805</v>
      </c>
      <c r="BC9" s="214">
        <v>45.56161814102229</v>
      </c>
      <c r="BD9" s="374">
        <f t="shared" si="15"/>
        <v>3.764389085</v>
      </c>
      <c r="BE9" s="376">
        <f t="shared" si="16"/>
        <v>46.3160973</v>
      </c>
      <c r="BF9" s="377">
        <v>384.3570811744387</v>
      </c>
      <c r="BG9" s="214">
        <v>3.130591643174185</v>
      </c>
      <c r="BH9" s="374">
        <f t="shared" si="17"/>
        <v>122.7745822</v>
      </c>
      <c r="BI9" s="376">
        <f t="shared" si="18"/>
        <v>3.808800217</v>
      </c>
    </row>
    <row r="10">
      <c r="A10" s="5"/>
      <c r="B10" s="141"/>
      <c r="C10" s="141"/>
      <c r="D10" s="65"/>
      <c r="E10" s="65"/>
      <c r="F10" s="141"/>
      <c r="G10" s="141"/>
      <c r="H10" s="65"/>
      <c r="I10" s="65"/>
      <c r="J10" s="141"/>
      <c r="K10" s="141"/>
      <c r="L10" s="65"/>
      <c r="M10" s="65"/>
      <c r="Y10" s="5"/>
      <c r="Z10" s="141"/>
      <c r="AA10" s="141"/>
      <c r="AB10" s="65"/>
      <c r="AC10" s="65"/>
      <c r="AD10" s="141"/>
      <c r="AE10" s="141"/>
      <c r="AF10" s="65"/>
      <c r="AG10" s="65"/>
      <c r="AH10" s="141"/>
      <c r="AI10" s="141"/>
      <c r="AJ10" s="65"/>
      <c r="AK10" s="65"/>
      <c r="AW10" s="5"/>
      <c r="AX10" s="141"/>
      <c r="AY10" s="141"/>
      <c r="AZ10" s="65"/>
      <c r="BA10" s="65"/>
      <c r="BB10" s="141"/>
      <c r="BC10" s="141"/>
      <c r="BD10" s="65"/>
      <c r="BE10" s="65"/>
      <c r="BF10" s="141"/>
      <c r="BG10" s="141"/>
      <c r="BH10" s="65"/>
      <c r="BI10" s="65"/>
    </row>
    <row r="11">
      <c r="A11" s="5"/>
      <c r="B11" s="141"/>
      <c r="C11" s="141"/>
      <c r="D11" s="65"/>
      <c r="E11" s="65"/>
      <c r="F11" s="141"/>
      <c r="G11" s="141"/>
      <c r="H11" s="65"/>
      <c r="I11" s="65"/>
      <c r="J11" s="141"/>
      <c r="K11" s="141"/>
      <c r="L11" s="65"/>
      <c r="M11" s="65"/>
      <c r="Y11" s="5"/>
      <c r="Z11" s="141"/>
      <c r="AA11" s="141"/>
      <c r="AB11" s="65"/>
      <c r="AC11" s="65"/>
      <c r="AD11" s="141"/>
      <c r="AE11" s="141"/>
      <c r="AF11" s="65"/>
      <c r="AG11" s="65"/>
      <c r="AH11" s="141"/>
      <c r="AJ11" s="65"/>
      <c r="AK11" s="65"/>
      <c r="AW11" s="5"/>
      <c r="AX11" s="141"/>
      <c r="AY11" s="141"/>
      <c r="AZ11" s="65"/>
      <c r="BA11" s="65"/>
      <c r="BB11" s="141"/>
      <c r="BC11" s="141"/>
      <c r="BD11" s="65"/>
      <c r="BE11" s="65"/>
      <c r="BF11" s="141"/>
      <c r="BG11" s="141"/>
      <c r="BH11" s="65"/>
      <c r="BI11" s="65"/>
    </row>
    <row r="12">
      <c r="A12" s="141"/>
      <c r="B12" s="141"/>
      <c r="C12" s="141"/>
      <c r="D12" s="65"/>
      <c r="F12" s="141"/>
      <c r="G12" s="141"/>
      <c r="H12" s="65"/>
      <c r="I12" s="65" t="s">
        <v>243</v>
      </c>
      <c r="J12" s="141"/>
      <c r="K12" s="141"/>
      <c r="L12" s="65"/>
      <c r="M12" s="65"/>
      <c r="Y12" s="141"/>
      <c r="Z12" s="141"/>
      <c r="AA12" s="141"/>
      <c r="AB12" s="65"/>
      <c r="AC12" s="65"/>
      <c r="AD12" s="141"/>
      <c r="AE12" s="141"/>
      <c r="AF12" s="65"/>
      <c r="AG12" s="65"/>
      <c r="AH12" s="141"/>
      <c r="AJ12" s="65"/>
      <c r="AK12" s="65"/>
      <c r="AW12" s="141"/>
      <c r="AX12" s="141"/>
      <c r="AY12" s="141"/>
      <c r="AZ12" s="65"/>
      <c r="BA12" s="65"/>
      <c r="BB12" s="141"/>
      <c r="BC12" s="141"/>
      <c r="BD12" s="65"/>
      <c r="BE12" s="65"/>
      <c r="BF12" s="141"/>
      <c r="BG12" s="141"/>
      <c r="BH12" s="65"/>
      <c r="BI12" s="65"/>
    </row>
    <row r="13">
      <c r="A13" s="141"/>
      <c r="B13" s="141"/>
      <c r="C13" s="141"/>
      <c r="D13" s="65"/>
      <c r="E13" s="65"/>
      <c r="F13" s="141"/>
      <c r="G13" s="141"/>
      <c r="H13" s="65"/>
      <c r="I13" s="65"/>
      <c r="J13" s="141"/>
      <c r="K13" s="141"/>
      <c r="L13" s="65"/>
      <c r="M13" s="65"/>
      <c r="Y13" s="141"/>
      <c r="Z13" s="221"/>
      <c r="AA13" s="141"/>
      <c r="AB13" s="65"/>
      <c r="AC13" s="65"/>
      <c r="AD13" s="141"/>
      <c r="AE13" s="141"/>
      <c r="AF13" s="65"/>
      <c r="AG13" s="65"/>
      <c r="AH13" s="141"/>
      <c r="AJ13" s="65"/>
      <c r="AK13" s="65"/>
      <c r="AW13" s="141"/>
      <c r="AX13" s="141"/>
      <c r="AY13" s="141"/>
      <c r="AZ13" s="65"/>
      <c r="BA13" s="65"/>
      <c r="BB13" s="141"/>
      <c r="BC13" s="141" t="s">
        <v>244</v>
      </c>
      <c r="BD13" s="65" t="s">
        <v>245</v>
      </c>
      <c r="BE13" s="65"/>
      <c r="BF13" s="141"/>
      <c r="BG13" s="141"/>
      <c r="BH13" s="65"/>
      <c r="BI13" s="65"/>
    </row>
    <row r="14">
      <c r="B14" s="166" t="s">
        <v>620</v>
      </c>
      <c r="C14" s="167" t="s">
        <v>621</v>
      </c>
      <c r="D14" s="167" t="s">
        <v>622</v>
      </c>
      <c r="E14" s="168" t="s">
        <v>623</v>
      </c>
      <c r="F14" s="147"/>
      <c r="G14" s="166" t="s">
        <v>624</v>
      </c>
      <c r="H14" s="167" t="s">
        <v>625</v>
      </c>
      <c r="I14" s="167" t="s">
        <v>626</v>
      </c>
      <c r="J14" s="168" t="s">
        <v>627</v>
      </c>
      <c r="K14" s="147"/>
      <c r="L14" s="166" t="s">
        <v>628</v>
      </c>
      <c r="M14" s="167" t="s">
        <v>629</v>
      </c>
      <c r="N14" s="167" t="s">
        <v>630</v>
      </c>
      <c r="O14" s="168" t="s">
        <v>631</v>
      </c>
      <c r="P14" s="222"/>
      <c r="Z14" s="166" t="s">
        <v>632</v>
      </c>
      <c r="AA14" s="167" t="s">
        <v>633</v>
      </c>
      <c r="AB14" s="167" t="s">
        <v>634</v>
      </c>
      <c r="AC14" s="168" t="s">
        <v>635</v>
      </c>
      <c r="AE14" s="166" t="s">
        <v>636</v>
      </c>
      <c r="AF14" s="167" t="s">
        <v>637</v>
      </c>
      <c r="AG14" s="167" t="s">
        <v>638</v>
      </c>
      <c r="AH14" s="168" t="s">
        <v>639</v>
      </c>
      <c r="AJ14" s="166" t="s">
        <v>640</v>
      </c>
      <c r="AK14" s="167" t="s">
        <v>641</v>
      </c>
      <c r="AL14" s="167" t="s">
        <v>642</v>
      </c>
      <c r="AM14" s="168" t="s">
        <v>644</v>
      </c>
      <c r="AN14" s="222"/>
      <c r="AX14" s="166" t="s">
        <v>646</v>
      </c>
      <c r="AY14" s="167" t="s">
        <v>647</v>
      </c>
      <c r="AZ14" s="167" t="s">
        <v>648</v>
      </c>
      <c r="BA14" s="168" t="s">
        <v>649</v>
      </c>
      <c r="BC14" s="166" t="s">
        <v>650</v>
      </c>
      <c r="BD14" s="167" t="s">
        <v>651</v>
      </c>
      <c r="BE14" s="167" t="s">
        <v>652</v>
      </c>
      <c r="BF14" s="168" t="s">
        <v>653</v>
      </c>
      <c r="BH14" s="166" t="s">
        <v>654</v>
      </c>
      <c r="BI14" s="167" t="s">
        <v>655</v>
      </c>
      <c r="BJ14" s="167" t="s">
        <v>656</v>
      </c>
      <c r="BK14" s="168" t="s">
        <v>657</v>
      </c>
      <c r="BL14" s="222"/>
    </row>
    <row r="15">
      <c r="B15" s="230">
        <f>POWER(10,0.2671)</f>
        <v>1.849694478</v>
      </c>
      <c r="C15" s="232">
        <v>1.0068</v>
      </c>
      <c r="D15" s="232">
        <f>1/C15</f>
        <v>0.9932459277</v>
      </c>
      <c r="E15" s="235">
        <v>0.8562</v>
      </c>
      <c r="F15" s="226"/>
      <c r="G15" s="230">
        <f>POWER(10,0.9938)</f>
        <v>9.858253917</v>
      </c>
      <c r="H15" s="232">
        <v>0.3076</v>
      </c>
      <c r="I15" s="232">
        <f>1/H15</f>
        <v>3.250975293</v>
      </c>
      <c r="J15" s="235">
        <v>0.8687</v>
      </c>
      <c r="K15" s="226"/>
      <c r="L15" s="230">
        <f>POWER(10,1.9346)</f>
        <v>86.02011127</v>
      </c>
      <c r="M15" s="381">
        <v>-0.4404</v>
      </c>
      <c r="N15" s="381">
        <f>1/M15</f>
        <v>-2.270663034</v>
      </c>
      <c r="O15" s="235">
        <v>0.4939</v>
      </c>
      <c r="P15" s="226"/>
      <c r="Z15" s="238">
        <f>POWER(10,1.0142)</f>
        <v>10.33237119</v>
      </c>
      <c r="AA15" s="232">
        <v>0.3621</v>
      </c>
      <c r="AB15" s="232">
        <f>1/AA15</f>
        <v>2.761668048</v>
      </c>
      <c r="AC15" s="235">
        <v>0.89</v>
      </c>
      <c r="AD15" s="226"/>
      <c r="AE15" s="230">
        <f>POWER(10,1.1478)</f>
        <v>14.05400164</v>
      </c>
      <c r="AF15" s="232">
        <v>0.0776</v>
      </c>
      <c r="AG15" s="232">
        <f>1/AF15</f>
        <v>12.88659794</v>
      </c>
      <c r="AH15" s="235">
        <v>0.1548</v>
      </c>
      <c r="AI15" s="226"/>
      <c r="AJ15" s="230">
        <f>POWER(10,1.2939)</f>
        <v>19.67433219</v>
      </c>
      <c r="AK15" s="232">
        <v>-0.0243</v>
      </c>
      <c r="AL15" s="232">
        <f>1/AK15</f>
        <v>-41.15226337</v>
      </c>
      <c r="AM15" s="235">
        <v>0.0401</v>
      </c>
      <c r="AN15" s="226"/>
      <c r="AX15" s="384">
        <f>POWER(10,0.7292)</f>
        <v>5.360434578</v>
      </c>
      <c r="AY15" s="232">
        <v>0.5024</v>
      </c>
      <c r="AZ15" s="232">
        <f>1/AY15</f>
        <v>1.99044586</v>
      </c>
      <c r="BA15" s="235">
        <v>0.7564</v>
      </c>
      <c r="BB15" s="221"/>
      <c r="BC15" s="230">
        <f>POWER(10,0.8128)</f>
        <v>6.498303635</v>
      </c>
      <c r="BD15" s="232">
        <v>0.4044</v>
      </c>
      <c r="BE15" s="232">
        <f>1/BD15</f>
        <v>2.472799209</v>
      </c>
      <c r="BF15" s="235">
        <v>0.8314</v>
      </c>
      <c r="BG15" s="221"/>
      <c r="BH15" s="230">
        <f>POWER(10,1.7205)</f>
        <v>52.54120151</v>
      </c>
      <c r="BI15" s="232">
        <v>-0.3327</v>
      </c>
      <c r="BJ15" s="232">
        <f>1/BI15</f>
        <v>-3.005710851</v>
      </c>
      <c r="BK15" s="235">
        <v>0.3894</v>
      </c>
      <c r="BL15" s="226"/>
    </row>
    <row r="16">
      <c r="A16" s="147"/>
      <c r="B16" s="185" t="s">
        <v>658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2"/>
      <c r="Q16" s="147"/>
      <c r="R16" s="147"/>
      <c r="S16" s="147"/>
      <c r="T16" s="147"/>
      <c r="U16" s="147"/>
      <c r="V16" s="147"/>
      <c r="W16" s="147"/>
      <c r="X16" s="147"/>
      <c r="Y16" s="147"/>
      <c r="Z16" s="185" t="s">
        <v>284</v>
      </c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2"/>
      <c r="AO16" s="147"/>
      <c r="AP16" s="147"/>
      <c r="AQ16" s="147"/>
      <c r="AR16" s="147"/>
      <c r="AS16" s="147"/>
      <c r="AT16" s="147"/>
      <c r="AU16" s="147"/>
      <c r="AV16" s="147"/>
      <c r="AW16" s="147"/>
      <c r="AX16" s="185" t="s">
        <v>285</v>
      </c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2"/>
      <c r="BM16" s="147"/>
      <c r="BN16" s="147"/>
      <c r="BO16" s="147"/>
      <c r="BP16" s="147"/>
      <c r="BQ16" s="147"/>
      <c r="BR16" s="147"/>
      <c r="BS16" s="147"/>
      <c r="BT16" s="147"/>
      <c r="BU16" s="147"/>
    </row>
    <row r="17">
      <c r="A17" s="147"/>
      <c r="B17" s="187" t="s">
        <v>229</v>
      </c>
      <c r="C17" s="188"/>
      <c r="D17" s="188"/>
      <c r="E17" s="188"/>
      <c r="F17" s="189"/>
      <c r="G17" s="187" t="s">
        <v>230</v>
      </c>
      <c r="H17" s="188"/>
      <c r="I17" s="188"/>
      <c r="J17" s="188"/>
      <c r="K17" s="189"/>
      <c r="L17" s="187" t="s">
        <v>231</v>
      </c>
      <c r="M17" s="188"/>
      <c r="N17" s="188"/>
      <c r="O17" s="188"/>
      <c r="P17" s="189"/>
      <c r="Q17" s="147"/>
      <c r="R17" s="147"/>
      <c r="S17" s="147"/>
      <c r="T17" s="147"/>
      <c r="U17" s="147"/>
      <c r="V17" s="147"/>
      <c r="W17" s="147"/>
      <c r="X17" s="147"/>
      <c r="Y17" s="147"/>
      <c r="Z17" s="187" t="s">
        <v>229</v>
      </c>
      <c r="AA17" s="188"/>
      <c r="AB17" s="188"/>
      <c r="AC17" s="188"/>
      <c r="AD17" s="189"/>
      <c r="AE17" s="187" t="s">
        <v>230</v>
      </c>
      <c r="AF17" s="188"/>
      <c r="AG17" s="188"/>
      <c r="AH17" s="188"/>
      <c r="AI17" s="189"/>
      <c r="AJ17" s="187" t="s">
        <v>231</v>
      </c>
      <c r="AK17" s="188"/>
      <c r="AL17" s="188"/>
      <c r="AM17" s="188"/>
      <c r="AN17" s="189"/>
      <c r="AO17" s="147"/>
      <c r="AP17" s="147"/>
      <c r="AQ17" s="147"/>
      <c r="AR17" s="147"/>
      <c r="AS17" s="147"/>
      <c r="AT17" s="147"/>
      <c r="AU17" s="147"/>
      <c r="AV17" s="147"/>
      <c r="AW17" s="147"/>
      <c r="AX17" s="187" t="s">
        <v>229</v>
      </c>
      <c r="AY17" s="188"/>
      <c r="AZ17" s="188"/>
      <c r="BA17" s="188"/>
      <c r="BB17" s="189"/>
      <c r="BC17" s="187" t="s">
        <v>230</v>
      </c>
      <c r="BD17" s="188"/>
      <c r="BE17" s="188"/>
      <c r="BF17" s="188"/>
      <c r="BG17" s="189"/>
      <c r="BH17" s="187" t="s">
        <v>231</v>
      </c>
      <c r="BI17" s="188"/>
      <c r="BJ17" s="188"/>
      <c r="BK17" s="188"/>
      <c r="BL17" s="189"/>
      <c r="BM17" s="147"/>
      <c r="BN17" s="147"/>
      <c r="BO17" s="147"/>
      <c r="BP17" s="147"/>
      <c r="BQ17" s="147"/>
      <c r="BR17" s="147"/>
      <c r="BS17" s="147"/>
      <c r="BT17" s="147"/>
      <c r="BU17" s="147"/>
    </row>
    <row r="18">
      <c r="A18" s="258" t="s">
        <v>168</v>
      </c>
      <c r="B18" s="166" t="s">
        <v>232</v>
      </c>
      <c r="C18" s="167" t="s">
        <v>233</v>
      </c>
      <c r="D18" s="193" t="s">
        <v>286</v>
      </c>
      <c r="E18" s="193" t="s">
        <v>287</v>
      </c>
      <c r="F18" s="168" t="s">
        <v>171</v>
      </c>
      <c r="G18" s="166" t="s">
        <v>232</v>
      </c>
      <c r="H18" s="167" t="s">
        <v>233</v>
      </c>
      <c r="I18" s="193" t="s">
        <v>286</v>
      </c>
      <c r="J18" s="193" t="s">
        <v>287</v>
      </c>
      <c r="K18" s="168" t="s">
        <v>171</v>
      </c>
      <c r="L18" s="166" t="s">
        <v>232</v>
      </c>
      <c r="M18" s="167" t="s">
        <v>233</v>
      </c>
      <c r="N18" s="193" t="s">
        <v>286</v>
      </c>
      <c r="O18" s="193" t="s">
        <v>287</v>
      </c>
      <c r="P18" s="168" t="s">
        <v>171</v>
      </c>
      <c r="Y18" s="258" t="s">
        <v>168</v>
      </c>
      <c r="Z18" s="161" t="s">
        <v>232</v>
      </c>
      <c r="AA18" s="368" t="s">
        <v>233</v>
      </c>
      <c r="AB18" s="159" t="s">
        <v>286</v>
      </c>
      <c r="AC18" s="159" t="s">
        <v>287</v>
      </c>
      <c r="AD18" s="370" t="s">
        <v>171</v>
      </c>
      <c r="AE18" s="161" t="s">
        <v>232</v>
      </c>
      <c r="AF18" s="368" t="s">
        <v>233</v>
      </c>
      <c r="AG18" s="159" t="s">
        <v>286</v>
      </c>
      <c r="AH18" s="159" t="s">
        <v>287</v>
      </c>
      <c r="AI18" s="370" t="s">
        <v>171</v>
      </c>
      <c r="AJ18" s="161" t="s">
        <v>232</v>
      </c>
      <c r="AK18" s="368" t="s">
        <v>233</v>
      </c>
      <c r="AL18" s="159" t="s">
        <v>286</v>
      </c>
      <c r="AM18" s="159" t="s">
        <v>287</v>
      </c>
      <c r="AN18" s="370" t="s">
        <v>171</v>
      </c>
      <c r="AW18" s="258" t="s">
        <v>168</v>
      </c>
      <c r="AX18" s="166" t="s">
        <v>232</v>
      </c>
      <c r="AY18" s="167" t="s">
        <v>233</v>
      </c>
      <c r="AZ18" s="193" t="s">
        <v>286</v>
      </c>
      <c r="BA18" s="193" t="s">
        <v>287</v>
      </c>
      <c r="BB18" s="168" t="s">
        <v>171</v>
      </c>
      <c r="BC18" s="166" t="s">
        <v>232</v>
      </c>
      <c r="BD18" s="167" t="s">
        <v>233</v>
      </c>
      <c r="BE18" s="193" t="s">
        <v>286</v>
      </c>
      <c r="BF18" s="193" t="s">
        <v>287</v>
      </c>
      <c r="BG18" s="168" t="s">
        <v>171</v>
      </c>
      <c r="BH18" s="166" t="s">
        <v>232</v>
      </c>
      <c r="BI18" s="167" t="s">
        <v>233</v>
      </c>
      <c r="BJ18" s="193" t="s">
        <v>286</v>
      </c>
      <c r="BK18" s="193" t="s">
        <v>287</v>
      </c>
      <c r="BL18" s="168" t="s">
        <v>171</v>
      </c>
    </row>
    <row r="19">
      <c r="A19" s="196">
        <v>100.0</v>
      </c>
      <c r="B19" s="151">
        <f t="shared" ref="B19:C19" si="19">B6</f>
        <v>11.40803109</v>
      </c>
      <c r="C19" s="11">
        <f t="shared" si="19"/>
        <v>17.60382087</v>
      </c>
      <c r="D19" s="11">
        <f t="shared" ref="D19:E19" si="20">LOG(B19)</f>
        <v>1.057210696</v>
      </c>
      <c r="E19" s="11">
        <f t="shared" si="20"/>
        <v>1.245606941</v>
      </c>
      <c r="F19" s="260">
        <f t="shared" ref="F19:F22" si="39">$B$15*((B19)^$C$15)</f>
        <v>21.45357776</v>
      </c>
      <c r="G19" s="151">
        <f t="shared" ref="G19:H19" si="21">F6</f>
        <v>10.56606218</v>
      </c>
      <c r="H19" s="11">
        <f t="shared" si="21"/>
        <v>17.77381457</v>
      </c>
      <c r="I19" s="11">
        <f t="shared" ref="I19:J19" si="22">LOG(G19)</f>
        <v>1.023913162</v>
      </c>
      <c r="J19" s="11">
        <f t="shared" si="22"/>
        <v>1.249780645</v>
      </c>
      <c r="K19" s="260">
        <f t="shared" ref="K19:K22" si="42">$G$15*((G19)^$H$15)</f>
        <v>20.35896467</v>
      </c>
      <c r="L19" s="151">
        <f t="shared" ref="L19:M19" si="23">J6</f>
        <v>26.6066494</v>
      </c>
      <c r="M19" s="11">
        <f t="shared" si="23"/>
        <v>14.57884391</v>
      </c>
      <c r="N19" s="11">
        <f t="shared" ref="N19:O19" si="24">LOG(L19)</f>
        <v>1.424990187</v>
      </c>
      <c r="O19" s="11">
        <f t="shared" si="24"/>
        <v>1.163723086</v>
      </c>
      <c r="P19" s="260">
        <f t="shared" ref="P19:P22" si="45">$L$15*((L19)^$M$15)</f>
        <v>20.27842971</v>
      </c>
      <c r="Y19" s="196">
        <v>100.0</v>
      </c>
      <c r="Z19" s="151">
        <f t="shared" ref="Z19:AA19" si="25">Z6</f>
        <v>7.306131261</v>
      </c>
      <c r="AA19" s="11">
        <f t="shared" si="25"/>
        <v>18.38624649</v>
      </c>
      <c r="AB19" s="11">
        <f t="shared" ref="AB19:AC19" si="26">LOG(Z19)</f>
        <v>0.8636874704</v>
      </c>
      <c r="AC19" s="11">
        <f t="shared" si="26"/>
        <v>1.264493078</v>
      </c>
      <c r="AD19" s="260">
        <f t="shared" ref="AD19:AD22" si="48">$Z$15*((Z19)^$AA$15)</f>
        <v>21.22957173</v>
      </c>
      <c r="AE19" s="151">
        <f t="shared" ref="AE19:AF19" si="27">AD6</f>
        <v>22.41839378</v>
      </c>
      <c r="AF19" s="11">
        <f t="shared" si="27"/>
        <v>15.3878969</v>
      </c>
      <c r="AG19" s="11">
        <f t="shared" ref="AG19:AH19" si="28">LOG(AE19)</f>
        <v>1.350604493</v>
      </c>
      <c r="AH19" s="11">
        <f t="shared" si="28"/>
        <v>1.187179268</v>
      </c>
      <c r="AI19" s="260">
        <f t="shared" ref="AI19:AI22" si="51">$AE$15*((AE19)^$AF$15)</f>
        <v>17.88985863</v>
      </c>
      <c r="AJ19" s="151">
        <f t="shared" ref="AJ19:AK19" si="29">AH6</f>
        <v>15.9201209</v>
      </c>
      <c r="AK19" s="11">
        <f t="shared" si="29"/>
        <v>16.72212047</v>
      </c>
      <c r="AL19" s="11">
        <f t="shared" ref="AL19:AM19" si="30">LOG(AJ19)</f>
        <v>1.201946361</v>
      </c>
      <c r="AM19" s="11">
        <f t="shared" si="30"/>
        <v>1.223291348</v>
      </c>
      <c r="AN19" s="260">
        <f t="shared" ref="AN19:AN22" si="54">$AJ$15*((AJ19)^$AK$15)</f>
        <v>18.39469975</v>
      </c>
      <c r="AW19" s="196">
        <v>100.0</v>
      </c>
      <c r="AX19" s="151">
        <f t="shared" ref="AX19:AY19" si="31">AX6</f>
        <v>15.5962867</v>
      </c>
      <c r="AY19" s="11">
        <f t="shared" si="31"/>
        <v>16.80063753</v>
      </c>
      <c r="AZ19" s="11">
        <f t="shared" ref="AZ19:BA19" si="32">LOG(AX19)</f>
        <v>1.19302121</v>
      </c>
      <c r="BA19" s="11">
        <f t="shared" si="32"/>
        <v>1.225325762</v>
      </c>
      <c r="BB19" s="260">
        <f t="shared" ref="BB19:BB22" si="57">$AX$15*((AX19)^$AY$15)</f>
        <v>21.30952926</v>
      </c>
      <c r="BC19" s="151">
        <f t="shared" ref="BC19:BD19" si="33">BB6</f>
        <v>16.17918826</v>
      </c>
      <c r="BD19" s="11">
        <f t="shared" si="33"/>
        <v>16.72442503</v>
      </c>
      <c r="BE19" s="11">
        <f t="shared" ref="BE19:BF19" si="34">LOG(BC19)</f>
        <v>1.208956728</v>
      </c>
      <c r="BF19" s="11">
        <f t="shared" si="34"/>
        <v>1.223351196</v>
      </c>
      <c r="BG19" s="260">
        <f t="shared" ref="BG19:BG22" si="60">$BC$15*((BC19)^$BD$15)</f>
        <v>20.03097555</v>
      </c>
      <c r="BH19" s="151">
        <f t="shared" ref="BH19:BI19" si="35">BF6</f>
        <v>11.42962003</v>
      </c>
      <c r="BI19" s="11">
        <f t="shared" si="35"/>
        <v>17.58450437</v>
      </c>
      <c r="BJ19" s="11">
        <f t="shared" ref="BJ19:BK19" si="36">LOG(BH19)</f>
        <v>1.058031793</v>
      </c>
      <c r="BK19" s="11">
        <f t="shared" si="36"/>
        <v>1.245130132</v>
      </c>
      <c r="BL19" s="260">
        <f t="shared" ref="BL19:BL22" si="63">$BH$15*((BH19)^$BI$15)</f>
        <v>23.36107493</v>
      </c>
    </row>
    <row r="20">
      <c r="A20" s="196">
        <v>200.0</v>
      </c>
      <c r="B20" s="151">
        <f t="shared" ref="B20:C20" si="37">B7</f>
        <v>17.85233161</v>
      </c>
      <c r="C20" s="11">
        <f t="shared" si="37"/>
        <v>35.96109985</v>
      </c>
      <c r="D20" s="11">
        <f t="shared" ref="D20:E20" si="38">LOG(B20)</f>
        <v>1.251694945</v>
      </c>
      <c r="E20" s="11">
        <f t="shared" si="38"/>
        <v>1.555832966</v>
      </c>
      <c r="F20" s="260">
        <f t="shared" si="39"/>
        <v>33.67491211</v>
      </c>
      <c r="G20" s="151">
        <f t="shared" ref="G20:H20" si="40">F7</f>
        <v>28.13946459</v>
      </c>
      <c r="H20" s="11">
        <f t="shared" si="40"/>
        <v>33.9653403</v>
      </c>
      <c r="I20" s="11">
        <f t="shared" ref="I20:J20" si="41">LOG(G20)</f>
        <v>1.44931583</v>
      </c>
      <c r="J20" s="11">
        <f t="shared" si="41"/>
        <v>1.53103597</v>
      </c>
      <c r="K20" s="260">
        <f t="shared" si="42"/>
        <v>27.51753638</v>
      </c>
      <c r="L20" s="151">
        <f t="shared" ref="L20:M20" si="43">J7</f>
        <v>101.369171</v>
      </c>
      <c r="M20" s="11">
        <f t="shared" si="43"/>
        <v>19.63547562</v>
      </c>
      <c r="N20" s="11">
        <f t="shared" ref="N20:O20" si="44">LOG(L20)</f>
        <v>2.005905895</v>
      </c>
      <c r="O20" s="11">
        <f t="shared" si="44"/>
        <v>1.293041425</v>
      </c>
      <c r="P20" s="260">
        <f t="shared" si="45"/>
        <v>11.25120516</v>
      </c>
      <c r="Y20" s="196">
        <v>200.0</v>
      </c>
      <c r="Z20" s="151">
        <f t="shared" ref="Z20:AA20" si="46">Z7</f>
        <v>19.35276339</v>
      </c>
      <c r="AA20" s="11">
        <f t="shared" si="46"/>
        <v>35.82039089</v>
      </c>
      <c r="AB20" s="11">
        <f t="shared" ref="AB20:AC20" si="47">LOG(Z20)</f>
        <v>1.286742987</v>
      </c>
      <c r="AC20" s="11">
        <f t="shared" si="47"/>
        <v>1.554130321</v>
      </c>
      <c r="AD20" s="260">
        <f t="shared" si="48"/>
        <v>30.20853301</v>
      </c>
      <c r="AE20" s="151">
        <f t="shared" ref="AE20:AF20" si="49">AD7</f>
        <v>74.36139896</v>
      </c>
      <c r="AF20" s="11">
        <f t="shared" si="49"/>
        <v>24.85595723</v>
      </c>
      <c r="AG20" s="11">
        <f t="shared" ref="AG20:AH20" si="50">LOG(AE20)</f>
        <v>1.871347552</v>
      </c>
      <c r="AH20" s="11">
        <f t="shared" si="50"/>
        <v>1.395430493</v>
      </c>
      <c r="AI20" s="260">
        <f t="shared" si="51"/>
        <v>19.63435188</v>
      </c>
      <c r="AJ20" s="151">
        <f t="shared" ref="AJ20:AK20" si="52">AH7</f>
        <v>89.53842832</v>
      </c>
      <c r="AK20" s="11">
        <f t="shared" si="52"/>
        <v>21.92964508</v>
      </c>
      <c r="AL20" s="11">
        <f t="shared" ref="AL20:AM20" si="53">LOG(AJ20)</f>
        <v>1.952009467</v>
      </c>
      <c r="AM20" s="11">
        <f t="shared" si="53"/>
        <v>1.341031603</v>
      </c>
      <c r="AN20" s="260">
        <f t="shared" si="54"/>
        <v>17.6386836</v>
      </c>
      <c r="AW20" s="196">
        <v>200.0</v>
      </c>
      <c r="AX20" s="151">
        <f t="shared" ref="AX20:AY20" si="55">AX7</f>
        <v>30.29835924</v>
      </c>
      <c r="AY20" s="11">
        <f t="shared" si="55"/>
        <v>33.73824424</v>
      </c>
      <c r="AZ20" s="11">
        <f t="shared" ref="AZ20:BA20" si="56">LOG(AX20)</f>
        <v>1.481419111</v>
      </c>
      <c r="BA20" s="11">
        <f t="shared" si="56"/>
        <v>1.528122478</v>
      </c>
      <c r="BB20" s="260">
        <f t="shared" si="57"/>
        <v>29.74849239</v>
      </c>
      <c r="BC20" s="151">
        <f t="shared" ref="BC20:BD20" si="58">BB7</f>
        <v>33.08333333</v>
      </c>
      <c r="BD20" s="11">
        <f t="shared" si="58"/>
        <v>33.25058984</v>
      </c>
      <c r="BE20" s="11">
        <f t="shared" ref="BE20:BF20" si="59">LOG(BC20)</f>
        <v>1.519609261</v>
      </c>
      <c r="BF20" s="11">
        <f t="shared" si="59"/>
        <v>1.521799354</v>
      </c>
      <c r="BG20" s="260">
        <f t="shared" si="60"/>
        <v>26.7503818</v>
      </c>
      <c r="BH20" s="151">
        <f t="shared" ref="BH20:BI20" si="61">BF7</f>
        <v>117.906304</v>
      </c>
      <c r="BI20" s="11">
        <f t="shared" si="61"/>
        <v>16.28552673</v>
      </c>
      <c r="BJ20" s="11">
        <f t="shared" ref="BJ20:BK20" si="62">LOG(BH20)</f>
        <v>2.071537026</v>
      </c>
      <c r="BK20" s="11">
        <f t="shared" si="62"/>
        <v>1.21180181</v>
      </c>
      <c r="BL20" s="260">
        <f t="shared" si="63"/>
        <v>10.74730642</v>
      </c>
    </row>
    <row r="21" ht="15.75" customHeight="1">
      <c r="A21" s="196">
        <v>300.0</v>
      </c>
      <c r="B21" s="151">
        <f t="shared" ref="B21:C21" si="64">B8</f>
        <v>21.80310881</v>
      </c>
      <c r="C21" s="11">
        <f t="shared" si="64"/>
        <v>55.46900186</v>
      </c>
      <c r="D21" s="11">
        <f t="shared" ref="D21:E21" si="65">LOG(B21)</f>
        <v>1.338518422</v>
      </c>
      <c r="E21" s="11">
        <f t="shared" si="65"/>
        <v>1.744050351</v>
      </c>
      <c r="F21" s="260">
        <f t="shared" si="39"/>
        <v>41.18322451</v>
      </c>
      <c r="G21" s="151">
        <f t="shared" ref="G21:H21" si="66">F8</f>
        <v>97.87176166</v>
      </c>
      <c r="H21" s="11">
        <f t="shared" si="66"/>
        <v>40.16974957</v>
      </c>
      <c r="I21" s="11">
        <f t="shared" ref="I21:J21" si="67">LOG(G21)</f>
        <v>1.990657406</v>
      </c>
      <c r="J21" s="11">
        <f t="shared" si="67"/>
        <v>1.603899124</v>
      </c>
      <c r="K21" s="260">
        <f t="shared" si="42"/>
        <v>40.37627205</v>
      </c>
      <c r="L21" s="151">
        <f t="shared" ref="L21:M21" si="68">J8</f>
        <v>247.1809154</v>
      </c>
      <c r="M21" s="11">
        <f t="shared" si="68"/>
        <v>10.48557971</v>
      </c>
      <c r="N21" s="11">
        <f t="shared" ref="N21:O21" si="69">LOG(L21)</f>
        <v>2.393014936</v>
      </c>
      <c r="O21" s="11">
        <f t="shared" si="69"/>
        <v>1.020592446</v>
      </c>
      <c r="P21" s="260">
        <f t="shared" si="45"/>
        <v>7.598296247</v>
      </c>
      <c r="Y21" s="196">
        <v>300.0</v>
      </c>
      <c r="Z21" s="151">
        <f t="shared" ref="Z21:AA21" si="70">Z8</f>
        <v>54.9097582</v>
      </c>
      <c r="AA21" s="11">
        <f t="shared" si="70"/>
        <v>48.79049298</v>
      </c>
      <c r="AB21" s="11">
        <f t="shared" ref="AB21:AC21" si="71">LOG(Z21)</f>
        <v>1.739649531</v>
      </c>
      <c r="AC21" s="11">
        <f t="shared" si="71"/>
        <v>1.688335206</v>
      </c>
      <c r="AD21" s="260">
        <f t="shared" si="48"/>
        <v>44.06838097</v>
      </c>
      <c r="AE21" s="151">
        <f t="shared" ref="AE21:AF21" si="72">AD8</f>
        <v>181.9822971</v>
      </c>
      <c r="AF21" s="11">
        <f t="shared" si="72"/>
        <v>23.55216851</v>
      </c>
      <c r="AG21" s="11">
        <f t="shared" ref="AG21:AH21" si="73">LOG(AE21)</f>
        <v>2.260029143</v>
      </c>
      <c r="AH21" s="11">
        <f t="shared" si="73"/>
        <v>1.3720309</v>
      </c>
      <c r="AI21" s="260">
        <f t="shared" si="51"/>
        <v>21.04642139</v>
      </c>
      <c r="AJ21" s="151">
        <f t="shared" ref="AJ21:AK21" si="74">AH8</f>
        <v>211.7318653</v>
      </c>
      <c r="AK21" s="11">
        <f t="shared" si="74"/>
        <v>17.52737012</v>
      </c>
      <c r="AL21" s="11">
        <f t="shared" ref="AL21:AM21" si="75">LOG(AJ21)</f>
        <v>2.325786224</v>
      </c>
      <c r="AM21" s="11">
        <f t="shared" si="75"/>
        <v>1.243716758</v>
      </c>
      <c r="AN21" s="260">
        <f t="shared" si="54"/>
        <v>17.27362133</v>
      </c>
      <c r="AW21" s="196">
        <v>300.0</v>
      </c>
      <c r="AX21" s="151">
        <f t="shared" ref="AX21:AY21" si="76">AX8</f>
        <v>47.07297064</v>
      </c>
      <c r="AY21" s="11">
        <f t="shared" si="76"/>
        <v>50.42275114</v>
      </c>
      <c r="AZ21" s="11">
        <f t="shared" ref="AZ21:BA21" si="77">LOG(AX21)</f>
        <v>1.672771606</v>
      </c>
      <c r="BA21" s="11">
        <f t="shared" si="77"/>
        <v>1.702626538</v>
      </c>
      <c r="BB21" s="260">
        <f t="shared" si="57"/>
        <v>37.11935789</v>
      </c>
      <c r="BC21" s="151">
        <f t="shared" ref="BC21:BD21" si="78">BB8</f>
        <v>84.14119171</v>
      </c>
      <c r="BD21" s="11">
        <f t="shared" si="78"/>
        <v>42.97718196</v>
      </c>
      <c r="BE21" s="11">
        <f t="shared" ref="BE21:BF21" si="79">LOG(BC21)</f>
        <v>1.925008659</v>
      </c>
      <c r="BF21" s="11">
        <f t="shared" si="79"/>
        <v>1.633237935</v>
      </c>
      <c r="BG21" s="260">
        <f t="shared" si="60"/>
        <v>39.01876342</v>
      </c>
      <c r="BH21" s="151">
        <f t="shared" ref="BH21:BI21" si="80">BF8</f>
        <v>224.8795337</v>
      </c>
      <c r="BI21" s="11">
        <f t="shared" si="80"/>
        <v>14.93491057</v>
      </c>
      <c r="BJ21" s="11">
        <f t="shared" ref="BJ21:BK21" si="81">LOG(BH21)</f>
        <v>2.351949932</v>
      </c>
      <c r="BK21" s="11">
        <f t="shared" si="81"/>
        <v>1.174202626</v>
      </c>
      <c r="BL21" s="260">
        <f t="shared" si="63"/>
        <v>8.669743676</v>
      </c>
    </row>
    <row r="22" ht="15.75" customHeight="1">
      <c r="A22" s="212">
        <v>400.0</v>
      </c>
      <c r="B22" s="213">
        <f t="shared" ref="B22:C22" si="82">B9</f>
        <v>43.69430052</v>
      </c>
      <c r="C22" s="214">
        <f t="shared" si="82"/>
        <v>70.2810306</v>
      </c>
      <c r="D22" s="214">
        <f t="shared" ref="D22:E22" si="83">LOG(B22)</f>
        <v>1.640424791</v>
      </c>
      <c r="E22" s="214">
        <f t="shared" si="83"/>
        <v>1.846838121</v>
      </c>
      <c r="F22" s="267">
        <f t="shared" si="39"/>
        <v>82.92389249</v>
      </c>
      <c r="G22" s="213">
        <f t="shared" ref="G22:H22" si="84">F9</f>
        <v>173.1740069</v>
      </c>
      <c r="H22" s="214">
        <f t="shared" si="84"/>
        <v>44.88641406</v>
      </c>
      <c r="I22" s="214">
        <f t="shared" ref="I22:J22" si="85">LOG(G22)</f>
        <v>2.238482706</v>
      </c>
      <c r="J22" s="214">
        <f t="shared" si="85"/>
        <v>1.652114911</v>
      </c>
      <c r="K22" s="267">
        <f t="shared" si="42"/>
        <v>48.12350825</v>
      </c>
      <c r="L22" s="213">
        <f t="shared" ref="L22:M22" si="86">J9</f>
        <v>381.8743523</v>
      </c>
      <c r="M22" s="214">
        <f t="shared" si="86"/>
        <v>3.621508026</v>
      </c>
      <c r="N22" s="214">
        <f t="shared" ref="N22:O22" si="87">LOG(L22)</f>
        <v>2.581920491</v>
      </c>
      <c r="O22" s="214">
        <f t="shared" si="87"/>
        <v>0.558889452</v>
      </c>
      <c r="P22" s="267">
        <f t="shared" si="45"/>
        <v>6.273677873</v>
      </c>
      <c r="Y22" s="212">
        <v>400.0</v>
      </c>
      <c r="Z22" s="213">
        <f t="shared" ref="Z22:AA22" si="88">Z9</f>
        <v>131.5289292</v>
      </c>
      <c r="AA22" s="214">
        <f t="shared" si="88"/>
        <v>53.17745323</v>
      </c>
      <c r="AB22" s="214">
        <f t="shared" ref="AB22:AC22" si="89">LOG(Z22)</f>
        <v>2.119021284</v>
      </c>
      <c r="AC22" s="214">
        <f t="shared" si="89"/>
        <v>1.725727534</v>
      </c>
      <c r="AD22" s="267">
        <f t="shared" si="48"/>
        <v>60.46410198</v>
      </c>
      <c r="AE22" s="213">
        <f t="shared" ref="AE22:AF22" si="90">AD9</f>
        <v>308.8821244</v>
      </c>
      <c r="AF22" s="214">
        <f t="shared" si="90"/>
        <v>17.9981963</v>
      </c>
      <c r="AG22" s="214">
        <f t="shared" ref="AG22:AH22" si="91">LOG(AE22)</f>
        <v>2.489792776</v>
      </c>
      <c r="AH22" s="214">
        <f t="shared" si="91"/>
        <v>1.255228984</v>
      </c>
      <c r="AI22" s="267">
        <f t="shared" si="51"/>
        <v>21.92844922</v>
      </c>
      <c r="AJ22" s="213">
        <f t="shared" ref="AJ22:AK22" si="92">AH9</f>
        <v>325.3005181</v>
      </c>
      <c r="AK22" s="214">
        <f t="shared" si="92"/>
        <v>14.89839885</v>
      </c>
      <c r="AL22" s="214">
        <f t="shared" ref="AL22:AM22" si="93">LOG(AJ22)</f>
        <v>2.512284755</v>
      </c>
      <c r="AM22" s="214">
        <f t="shared" si="93"/>
        <v>1.173139597</v>
      </c>
      <c r="AN22" s="267">
        <f t="shared" si="54"/>
        <v>17.09430626</v>
      </c>
      <c r="AW22" s="212">
        <v>400.0</v>
      </c>
      <c r="AX22" s="213">
        <f t="shared" ref="AX22:AY22" si="94">AX9</f>
        <v>137.3579447</v>
      </c>
      <c r="AY22" s="214">
        <f t="shared" si="94"/>
        <v>52.38807784</v>
      </c>
      <c r="AZ22" s="214">
        <f t="shared" ref="AZ22:BA22" si="95">LOG(AX22)</f>
        <v>2.137853784</v>
      </c>
      <c r="BA22" s="214">
        <f t="shared" si="95"/>
        <v>1.719232464</v>
      </c>
      <c r="BB22" s="267">
        <f t="shared" si="57"/>
        <v>63.5708094</v>
      </c>
      <c r="BC22" s="213">
        <f t="shared" ref="BC22:BD22" si="96">BB9</f>
        <v>171.511658</v>
      </c>
      <c r="BD22" s="214">
        <f t="shared" si="96"/>
        <v>45.56161814</v>
      </c>
      <c r="BE22" s="214">
        <f t="shared" ref="BE22:BF22" si="97">LOG(BC22)</f>
        <v>2.234293645</v>
      </c>
      <c r="BF22" s="214">
        <f t="shared" si="97"/>
        <v>1.65859914</v>
      </c>
      <c r="BG22" s="267">
        <f t="shared" si="60"/>
        <v>52.04132557</v>
      </c>
      <c r="BH22" s="213">
        <f t="shared" ref="BH22:BI22" si="98">BF9</f>
        <v>384.3570812</v>
      </c>
      <c r="BI22" s="214">
        <f t="shared" si="98"/>
        <v>3.130591643</v>
      </c>
      <c r="BJ22" s="214">
        <f t="shared" ref="BJ22:BK22" si="99">LOG(BH22)</f>
        <v>2.584734887</v>
      </c>
      <c r="BK22" s="214">
        <f t="shared" si="99"/>
        <v>0.4956264216</v>
      </c>
      <c r="BL22" s="267">
        <f t="shared" si="63"/>
        <v>7.253685189</v>
      </c>
    </row>
    <row r="23" ht="15.75" customHeight="1">
      <c r="A23" s="5"/>
      <c r="B23" s="141"/>
      <c r="C23" s="141"/>
      <c r="D23" s="141"/>
      <c r="E23" s="141"/>
      <c r="G23" s="141"/>
      <c r="H23" s="141"/>
      <c r="I23" s="65"/>
      <c r="J23" s="65"/>
      <c r="L23" s="141"/>
      <c r="M23" s="141"/>
      <c r="N23" s="65"/>
      <c r="O23" s="65"/>
      <c r="P23" s="65"/>
      <c r="Y23" s="5"/>
      <c r="Z23" s="141"/>
      <c r="AA23" s="141"/>
      <c r="AB23" s="65"/>
      <c r="AC23" s="65"/>
      <c r="AE23" s="141"/>
      <c r="AF23" s="141"/>
      <c r="AG23" s="65"/>
      <c r="AH23" s="65"/>
      <c r="AJ23" s="141"/>
      <c r="AK23" s="141"/>
      <c r="AL23" s="65"/>
      <c r="AM23" s="65"/>
      <c r="AN23" s="65"/>
      <c r="AW23" s="5"/>
      <c r="AX23" s="141"/>
      <c r="AY23" s="141"/>
      <c r="AZ23" s="65"/>
      <c r="BA23" s="65"/>
      <c r="BC23" s="141"/>
      <c r="BD23" s="141"/>
      <c r="BE23" s="65"/>
      <c r="BF23" s="65"/>
      <c r="BH23" s="141"/>
      <c r="BI23" s="141"/>
      <c r="BJ23" s="65"/>
      <c r="BK23" s="65"/>
    </row>
    <row r="24" ht="15.75" customHeight="1">
      <c r="A24" s="5"/>
      <c r="B24" s="141"/>
      <c r="C24" s="141"/>
      <c r="D24" s="141"/>
      <c r="E24" s="141"/>
      <c r="G24" s="141"/>
      <c r="H24" s="141"/>
      <c r="I24" s="65"/>
      <c r="J24" s="65"/>
      <c r="L24" s="141"/>
      <c r="M24" s="141"/>
      <c r="N24" s="65"/>
      <c r="O24" s="65"/>
      <c r="P24" s="65"/>
      <c r="Y24" s="5"/>
      <c r="Z24" s="141"/>
      <c r="AA24" s="141"/>
      <c r="AB24" s="65"/>
      <c r="AC24" s="65"/>
      <c r="AE24" s="141"/>
      <c r="AF24" s="141"/>
      <c r="AG24" s="65"/>
      <c r="AH24" s="65"/>
      <c r="AJ24" s="141"/>
      <c r="AK24" s="141"/>
      <c r="AL24" s="65"/>
      <c r="AM24" s="65"/>
      <c r="AN24" s="65"/>
      <c r="AW24" s="5"/>
      <c r="AX24" s="141"/>
      <c r="AY24" s="141"/>
      <c r="AZ24" s="65"/>
      <c r="BA24" s="65"/>
      <c r="BC24" s="141"/>
      <c r="BD24" s="141"/>
      <c r="BE24" s="65"/>
      <c r="BF24" s="65"/>
      <c r="BH24" s="141"/>
      <c r="BI24" s="141"/>
      <c r="BJ24" s="65"/>
      <c r="BK24" s="65"/>
    </row>
    <row r="25" ht="15.75" customHeight="1"/>
    <row r="26" ht="15.75" customHeight="1"/>
    <row r="27" ht="15.75" customHeight="1">
      <c r="B27" s="166" t="s">
        <v>687</v>
      </c>
      <c r="C27" s="167" t="s">
        <v>117</v>
      </c>
      <c r="D27" s="167" t="s">
        <v>688</v>
      </c>
      <c r="E27" s="168" t="s">
        <v>689</v>
      </c>
      <c r="G27" s="166" t="s">
        <v>690</v>
      </c>
      <c r="H27" s="167" t="s">
        <v>117</v>
      </c>
      <c r="I27" s="167" t="s">
        <v>691</v>
      </c>
      <c r="J27" s="168" t="s">
        <v>692</v>
      </c>
      <c r="L27" s="166" t="s">
        <v>693</v>
      </c>
      <c r="M27" s="167" t="s">
        <v>117</v>
      </c>
      <c r="N27" s="167" t="s">
        <v>694</v>
      </c>
      <c r="O27" s="168" t="s">
        <v>695</v>
      </c>
      <c r="P27" s="222"/>
      <c r="Z27" s="166" t="s">
        <v>696</v>
      </c>
      <c r="AA27" s="167" t="s">
        <v>117</v>
      </c>
      <c r="AB27" s="167" t="s">
        <v>697</v>
      </c>
      <c r="AC27" s="168" t="s">
        <v>698</v>
      </c>
      <c r="AE27" s="166" t="s">
        <v>699</v>
      </c>
      <c r="AF27" s="167" t="s">
        <v>117</v>
      </c>
      <c r="AG27" s="167" t="s">
        <v>700</v>
      </c>
      <c r="AH27" s="168" t="s">
        <v>701</v>
      </c>
      <c r="AJ27" s="166" t="s">
        <v>702</v>
      </c>
      <c r="AK27" s="167" t="s">
        <v>117</v>
      </c>
      <c r="AL27" s="167" t="s">
        <v>703</v>
      </c>
      <c r="AM27" s="168" t="s">
        <v>704</v>
      </c>
      <c r="AN27" s="222"/>
      <c r="AX27" s="166" t="s">
        <v>705</v>
      </c>
      <c r="AY27" s="167" t="s">
        <v>117</v>
      </c>
      <c r="AZ27" s="167" t="s">
        <v>706</v>
      </c>
      <c r="BA27" s="168" t="s">
        <v>707</v>
      </c>
      <c r="BC27" s="166" t="s">
        <v>708</v>
      </c>
      <c r="BD27" s="167" t="s">
        <v>117</v>
      </c>
      <c r="BE27" s="167" t="s">
        <v>709</v>
      </c>
      <c r="BF27" s="168" t="s">
        <v>710</v>
      </c>
      <c r="BH27" s="166" t="s">
        <v>711</v>
      </c>
      <c r="BI27" s="167" t="s">
        <v>117</v>
      </c>
      <c r="BJ27" s="167" t="s">
        <v>712</v>
      </c>
      <c r="BK27" s="168" t="s">
        <v>713</v>
      </c>
    </row>
    <row r="28" ht="15.0" customHeight="1">
      <c r="B28" s="230">
        <f>EXP(-75.701/39.597)</f>
        <v>0.1478161146</v>
      </c>
      <c r="C28" s="143">
        <v>39.597</v>
      </c>
      <c r="D28" s="232">
        <f>($E$35*$E$32)/C28</f>
        <v>60.50153042</v>
      </c>
      <c r="E28" s="235">
        <v>0.9293</v>
      </c>
      <c r="F28" s="61"/>
      <c r="G28" s="230">
        <f>EXP(-0.8419/9.0821)</f>
        <v>0.9114679702</v>
      </c>
      <c r="H28" s="143">
        <v>9.0821</v>
      </c>
      <c r="I28" s="232">
        <f>($E$32*$E$35)/H28</f>
        <v>263.7803041</v>
      </c>
      <c r="J28" s="235">
        <v>0.9294</v>
      </c>
      <c r="K28" s="61"/>
      <c r="L28" s="230">
        <f>EXP(30.719/-3.852)</f>
        <v>0.0003440174152</v>
      </c>
      <c r="M28" s="143">
        <v>-3.852</v>
      </c>
      <c r="N28" s="232">
        <f>($E$32*$E$35)/M28</f>
        <v>-621.9312305</v>
      </c>
      <c r="O28" s="235">
        <v>0.448</v>
      </c>
      <c r="P28" s="226"/>
      <c r="Z28" s="230">
        <f>EXP(-2.969/12.145)</f>
        <v>0.7831251656</v>
      </c>
      <c r="AA28" s="143">
        <v>12.145</v>
      </c>
      <c r="AB28" s="232">
        <f>($AC$35*$AC$32)/AA28</f>
        <v>207.5248333</v>
      </c>
      <c r="AC28" s="295">
        <v>0.9521</v>
      </c>
      <c r="AD28" s="10"/>
      <c r="AE28" s="230">
        <f>EXP(14.231/1.355)</f>
        <v>36409.42781</v>
      </c>
      <c r="AF28" s="143">
        <v>1.355</v>
      </c>
      <c r="AG28" s="232">
        <f>($AC$35*$AC$32)/AF28</f>
        <v>1860.065756</v>
      </c>
      <c r="AH28" s="235">
        <v>0.1196</v>
      </c>
      <c r="AI28" s="10"/>
      <c r="AJ28" s="401">
        <f>EXP(19.581/-0.3937)</f>
        <v>0</v>
      </c>
      <c r="AK28" s="143">
        <v>-0.3937</v>
      </c>
      <c r="AL28" s="232">
        <f>($AC$35*$AC$32)/AK28</f>
        <v>-6401.801118</v>
      </c>
      <c r="AM28" s="295">
        <v>0.031</v>
      </c>
      <c r="AN28" s="10"/>
      <c r="AX28" s="230">
        <f>EXP(-22.562/16.313)</f>
        <v>0.2508077127</v>
      </c>
      <c r="AY28" s="143">
        <v>16.313</v>
      </c>
      <c r="AZ28" s="232">
        <f>($BA$35*$BA$32)/AY28</f>
        <v>162.146699</v>
      </c>
      <c r="BA28" s="235">
        <v>0.8047</v>
      </c>
      <c r="BB28" s="61"/>
      <c r="BC28" s="230">
        <f>EXP(-12.853/11.975)</f>
        <v>0.3418718173</v>
      </c>
      <c r="BD28" s="143">
        <v>11.975</v>
      </c>
      <c r="BE28" s="232">
        <f>($BA$35*$BA$32)/BD28</f>
        <v>220.8851023</v>
      </c>
      <c r="BF28" s="235">
        <v>0.9032</v>
      </c>
      <c r="BG28" s="61"/>
      <c r="BH28" s="230">
        <f>EXP(26.613/-2.9353)</f>
        <v>0.0001154659431</v>
      </c>
      <c r="BI28" s="232">
        <v>-2.9353</v>
      </c>
      <c r="BJ28" s="232">
        <f>($BA$35*$BA$32)/BI28</f>
        <v>-901.1341601</v>
      </c>
      <c r="BK28" s="235">
        <v>0.4663</v>
      </c>
    </row>
    <row r="29" ht="15.75" customHeight="1">
      <c r="A29" s="147"/>
      <c r="B29" s="275" t="s">
        <v>736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2"/>
      <c r="P29" s="276"/>
      <c r="Q29" s="147"/>
      <c r="R29" s="147"/>
      <c r="S29" s="147"/>
      <c r="T29" s="147"/>
      <c r="U29" s="147"/>
      <c r="V29" s="147"/>
      <c r="W29" s="147"/>
      <c r="X29" s="147"/>
      <c r="Y29" s="147"/>
      <c r="Z29" s="185" t="s">
        <v>320</v>
      </c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2"/>
      <c r="AN29" s="277"/>
      <c r="AO29" s="147"/>
      <c r="AP29" s="147"/>
      <c r="AQ29" s="147"/>
      <c r="AR29" s="147"/>
      <c r="AS29" s="147"/>
      <c r="AT29" s="147"/>
      <c r="AU29" s="147"/>
      <c r="AV29" s="147"/>
      <c r="AW29" s="147"/>
      <c r="AX29" s="185" t="s">
        <v>321</v>
      </c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2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</row>
    <row r="30" ht="15.75" customHeight="1">
      <c r="A30" s="147"/>
      <c r="B30" s="278" t="s">
        <v>229</v>
      </c>
      <c r="C30" s="188"/>
      <c r="D30" s="189"/>
      <c r="E30" s="147"/>
      <c r="F30" s="147"/>
      <c r="G30" s="279" t="s">
        <v>230</v>
      </c>
      <c r="H30" s="91"/>
      <c r="I30" s="92"/>
      <c r="J30" s="147"/>
      <c r="K30" s="147"/>
      <c r="L30" s="279" t="s">
        <v>231</v>
      </c>
      <c r="M30" s="91"/>
      <c r="N30" s="92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279" t="s">
        <v>229</v>
      </c>
      <c r="AA30" s="91"/>
      <c r="AB30" s="92"/>
      <c r="AC30" s="147"/>
      <c r="AD30" s="147"/>
      <c r="AE30" s="278" t="s">
        <v>230</v>
      </c>
      <c r="AF30" s="188"/>
      <c r="AG30" s="189"/>
      <c r="AH30" s="147"/>
      <c r="AI30" s="147"/>
      <c r="AJ30" s="279" t="s">
        <v>231</v>
      </c>
      <c r="AK30" s="91"/>
      <c r="AL30" s="92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279" t="s">
        <v>229</v>
      </c>
      <c r="AY30" s="91"/>
      <c r="AZ30" s="92"/>
      <c r="BA30" s="147"/>
      <c r="BB30" s="147"/>
      <c r="BC30" s="278" t="s">
        <v>230</v>
      </c>
      <c r="BD30" s="188"/>
      <c r="BE30" s="189"/>
      <c r="BF30" s="147"/>
      <c r="BG30" s="147"/>
      <c r="BH30" s="279" t="s">
        <v>231</v>
      </c>
      <c r="BI30" s="91"/>
      <c r="BJ30" s="92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</row>
    <row r="31" ht="15.75" customHeight="1">
      <c r="A31" s="258" t="s">
        <v>168</v>
      </c>
      <c r="B31" s="166" t="s">
        <v>233</v>
      </c>
      <c r="C31" s="167" t="s">
        <v>323</v>
      </c>
      <c r="D31" s="280" t="s">
        <v>171</v>
      </c>
      <c r="E31" s="280" t="s">
        <v>324</v>
      </c>
      <c r="G31" s="166" t="s">
        <v>233</v>
      </c>
      <c r="H31" s="167" t="s">
        <v>323</v>
      </c>
      <c r="I31" s="168" t="s">
        <v>171</v>
      </c>
      <c r="L31" s="166" t="s">
        <v>233</v>
      </c>
      <c r="M31" s="167" t="s">
        <v>323</v>
      </c>
      <c r="N31" s="168" t="s">
        <v>171</v>
      </c>
      <c r="Y31" s="258" t="s">
        <v>168</v>
      </c>
      <c r="Z31" s="166" t="s">
        <v>233</v>
      </c>
      <c r="AA31" s="167" t="s">
        <v>323</v>
      </c>
      <c r="AB31" s="168" t="s">
        <v>171</v>
      </c>
      <c r="AC31" s="280" t="s">
        <v>324</v>
      </c>
      <c r="AE31" s="166" t="s">
        <v>233</v>
      </c>
      <c r="AF31" s="167" t="s">
        <v>323</v>
      </c>
      <c r="AG31" s="168" t="s">
        <v>171</v>
      </c>
      <c r="AJ31" s="166" t="s">
        <v>233</v>
      </c>
      <c r="AK31" s="167" t="s">
        <v>323</v>
      </c>
      <c r="AL31" s="168" t="s">
        <v>171</v>
      </c>
      <c r="AW31" s="258" t="s">
        <v>168</v>
      </c>
      <c r="AX31" s="161" t="s">
        <v>233</v>
      </c>
      <c r="AY31" s="368" t="s">
        <v>323</v>
      </c>
      <c r="AZ31" s="370" t="s">
        <v>171</v>
      </c>
      <c r="BA31" s="280" t="s">
        <v>324</v>
      </c>
      <c r="BC31" s="161" t="s">
        <v>233</v>
      </c>
      <c r="BD31" s="368" t="s">
        <v>323</v>
      </c>
      <c r="BE31" s="370" t="s">
        <v>171</v>
      </c>
      <c r="BH31" s="161" t="s">
        <v>233</v>
      </c>
      <c r="BI31" s="368" t="s">
        <v>323</v>
      </c>
      <c r="BJ31" s="370" t="s">
        <v>171</v>
      </c>
    </row>
    <row r="32" ht="15.75" customHeight="1">
      <c r="A32" s="196">
        <v>100.0</v>
      </c>
      <c r="B32" s="151">
        <f t="shared" ref="B32:B35" si="100">C19</f>
        <v>17.60382087</v>
      </c>
      <c r="C32" s="11">
        <f t="shared" ref="C32:C35" si="101">LN(B19)</f>
        <v>2.434317589</v>
      </c>
      <c r="D32" s="281">
        <f t="shared" ref="D32:D35" si="102">(($E$35*$E$32)/$D$28)*LN($B$28*B19)</f>
        <v>20.69067356</v>
      </c>
      <c r="E32" s="282">
        <v>288.15</v>
      </c>
      <c r="G32" s="151">
        <f t="shared" ref="G32:G35" si="103">H19</f>
        <v>17.77381457</v>
      </c>
      <c r="H32" s="11">
        <f t="shared" ref="H32:H35" si="104">LN(G19)</f>
        <v>2.357647183</v>
      </c>
      <c r="I32" s="281">
        <f t="shared" ref="I32:I35" si="105">(($E$35*$E$32)/$I$28)*LN($G$28*G19)</f>
        <v>20.57048748</v>
      </c>
      <c r="L32" s="151">
        <f t="shared" ref="L32:L35" si="106">M19</f>
        <v>14.57884391</v>
      </c>
      <c r="M32" s="11">
        <f t="shared" ref="M32:M35" si="107">LN(L19)</f>
        <v>3.281161162</v>
      </c>
      <c r="N32" s="281">
        <f t="shared" ref="N32:N35" si="108">(($E$35*$E$32)/$N$28)*LN($L$28*L19)</f>
        <v>18.0799672</v>
      </c>
      <c r="Y32" s="196">
        <v>100.0</v>
      </c>
      <c r="Z32" s="151">
        <f t="shared" ref="Z32:Z35" si="109">AA19</f>
        <v>18.38624649</v>
      </c>
      <c r="AA32" s="11">
        <f t="shared" ref="AA32:AA35" si="110">LN(Z19)</f>
        <v>1.988713894</v>
      </c>
      <c r="AB32" s="281">
        <f t="shared" ref="AB32:AB35" si="111">(($AC$35*$AC$32)/$AB$28)*LN($Z$28*Z19)</f>
        <v>21.18393025</v>
      </c>
      <c r="AC32" s="282">
        <v>303.15</v>
      </c>
      <c r="AD32" s="61"/>
      <c r="AE32" s="151">
        <f t="shared" ref="AE32:AE35" si="112">AF19</f>
        <v>15.3878969</v>
      </c>
      <c r="AF32" s="11">
        <f t="shared" ref="AF32:AF35" si="113">LN(AE19)</f>
        <v>3.109881773</v>
      </c>
      <c r="AG32" s="281">
        <f t="shared" ref="AG32:AG35" si="114">(($AC$35*$AC$32)/$AG$28)*LN($AE$28*AE19)</f>
        <v>18.4448898</v>
      </c>
      <c r="AH32" s="61"/>
      <c r="AI32" s="61"/>
      <c r="AJ32" s="151">
        <f t="shared" ref="AJ32:AJ35" si="115">AK19</f>
        <v>16.72212047</v>
      </c>
      <c r="AK32" s="11">
        <f t="shared" ref="AK32:AK35" si="116">LN(AJ19)</f>
        <v>2.767583774</v>
      </c>
      <c r="AL32" s="281">
        <f t="shared" ref="AL32:AL35" si="117">(($AC$35*$AC$32)/$AL$28)*LN($AJ$28*AJ19)</f>
        <v>18.49140227</v>
      </c>
      <c r="AW32" s="196">
        <v>100.0</v>
      </c>
      <c r="AX32" s="151">
        <f t="shared" ref="AX32:AX35" si="118">AY19</f>
        <v>16.80063753</v>
      </c>
      <c r="AY32" s="11">
        <f t="shared" ref="AY32:AY35" si="119">LN(AX19)</f>
        <v>2.747032854</v>
      </c>
      <c r="AZ32" s="260">
        <f t="shared" ref="AZ32:AZ35" si="120">(($BA$35*$BA$32)/$AZ$28)*LN($AX$28*AX19)</f>
        <v>22.25034695</v>
      </c>
      <c r="BA32" s="282">
        <v>318.15</v>
      </c>
      <c r="BB32" s="61"/>
      <c r="BC32" s="151">
        <f t="shared" ref="BC32:BC35" si="121">BD19</f>
        <v>16.72442503</v>
      </c>
      <c r="BD32" s="11">
        <f t="shared" ref="BD32:BD35" si="122">LN(BC19)</f>
        <v>2.783725741</v>
      </c>
      <c r="BE32" s="260">
        <f t="shared" ref="BE32:BE35" si="123">(($BA$35*$BA$32)/$BE$28)*LN($BC$28*BC19)</f>
        <v>20.48211575</v>
      </c>
      <c r="BF32" s="61"/>
      <c r="BG32" s="61"/>
      <c r="BH32" s="151">
        <f t="shared" ref="BH32:BH35" si="124">BI19</f>
        <v>17.58450437</v>
      </c>
      <c r="BI32" s="11">
        <f t="shared" ref="BI32:BI35" si="125">LN(BH19)</f>
        <v>2.436208234</v>
      </c>
      <c r="BJ32" s="260">
        <f t="shared" ref="BJ32:BJ35" si="126">(($BA$35*$BA$32)/$BJ$28)*LN($BH$28*BH19)</f>
        <v>19.46199797</v>
      </c>
    </row>
    <row r="33" ht="15.75" customHeight="1">
      <c r="A33" s="196">
        <v>200.0</v>
      </c>
      <c r="B33" s="151">
        <f t="shared" si="100"/>
        <v>35.96109985</v>
      </c>
      <c r="C33" s="11">
        <f t="shared" si="101"/>
        <v>2.882134122</v>
      </c>
      <c r="D33" s="281">
        <f t="shared" si="102"/>
        <v>38.42286482</v>
      </c>
      <c r="G33" s="151">
        <f t="shared" si="103"/>
        <v>33.9653403</v>
      </c>
      <c r="H33" s="11">
        <f t="shared" si="104"/>
        <v>3.337173025</v>
      </c>
      <c r="I33" s="281">
        <f t="shared" si="105"/>
        <v>29.46663913</v>
      </c>
      <c r="L33" s="151">
        <f t="shared" si="106"/>
        <v>19.63547562</v>
      </c>
      <c r="M33" s="11">
        <f t="shared" si="107"/>
        <v>4.618769011</v>
      </c>
      <c r="N33" s="281">
        <f t="shared" si="108"/>
        <v>12.92750177</v>
      </c>
      <c r="Y33" s="196">
        <v>200.0</v>
      </c>
      <c r="Z33" s="151">
        <f t="shared" si="109"/>
        <v>35.82039089</v>
      </c>
      <c r="AA33" s="11">
        <f t="shared" si="110"/>
        <v>2.96283522</v>
      </c>
      <c r="AB33" s="281">
        <f t="shared" si="111"/>
        <v>33.01463375</v>
      </c>
      <c r="AC33" s="61"/>
      <c r="AD33" s="61"/>
      <c r="AE33" s="151">
        <f t="shared" si="112"/>
        <v>24.85595723</v>
      </c>
      <c r="AF33" s="11">
        <f t="shared" si="113"/>
        <v>4.308936976</v>
      </c>
      <c r="AG33" s="281">
        <f t="shared" si="114"/>
        <v>20.0696096</v>
      </c>
      <c r="AH33" s="61"/>
      <c r="AI33" s="61"/>
      <c r="AJ33" s="151">
        <f t="shared" si="115"/>
        <v>21.92964508</v>
      </c>
      <c r="AK33" s="11">
        <f t="shared" si="116"/>
        <v>4.4946679</v>
      </c>
      <c r="AL33" s="281">
        <f t="shared" si="117"/>
        <v>17.81144925</v>
      </c>
      <c r="AW33" s="196">
        <v>200.0</v>
      </c>
      <c r="AX33" s="151">
        <f t="shared" si="118"/>
        <v>33.73824424</v>
      </c>
      <c r="AY33" s="11">
        <f t="shared" si="119"/>
        <v>3.411093561</v>
      </c>
      <c r="AZ33" s="281">
        <f t="shared" si="120"/>
        <v>33.08316925</v>
      </c>
      <c r="BA33" s="61"/>
      <c r="BB33" s="61"/>
      <c r="BC33" s="151">
        <f t="shared" si="121"/>
        <v>33.25058984</v>
      </c>
      <c r="BD33" s="404">
        <f t="shared" si="122"/>
        <v>3.499029631</v>
      </c>
      <c r="BE33" s="405">
        <f t="shared" si="123"/>
        <v>29.04787983</v>
      </c>
      <c r="BF33" s="61"/>
      <c r="BG33" s="61"/>
      <c r="BH33" s="151">
        <f t="shared" si="124"/>
        <v>16.28552673</v>
      </c>
      <c r="BI33" s="11">
        <f t="shared" si="125"/>
        <v>4.769890275</v>
      </c>
      <c r="BJ33" s="281">
        <f t="shared" si="126"/>
        <v>12.61194108</v>
      </c>
    </row>
    <row r="34" ht="15.75" customHeight="1">
      <c r="A34" s="196">
        <v>300.0</v>
      </c>
      <c r="B34" s="151">
        <f t="shared" si="100"/>
        <v>55.46900186</v>
      </c>
      <c r="C34" s="11">
        <f t="shared" si="101"/>
        <v>3.082052566</v>
      </c>
      <c r="D34" s="281">
        <f t="shared" si="102"/>
        <v>46.33903544</v>
      </c>
      <c r="E34" s="285" t="s">
        <v>325</v>
      </c>
      <c r="G34" s="151">
        <f t="shared" si="103"/>
        <v>40.16974957</v>
      </c>
      <c r="H34" s="11">
        <f t="shared" si="104"/>
        <v>4.583658067</v>
      </c>
      <c r="I34" s="281">
        <f t="shared" si="105"/>
        <v>40.78734093</v>
      </c>
      <c r="L34" s="151">
        <f t="shared" si="106"/>
        <v>10.48557971</v>
      </c>
      <c r="M34" s="11">
        <f t="shared" si="107"/>
        <v>5.510120519</v>
      </c>
      <c r="N34" s="281">
        <f t="shared" si="108"/>
        <v>9.494015759</v>
      </c>
      <c r="Y34" s="196">
        <v>300.0</v>
      </c>
      <c r="Z34" s="151">
        <f t="shared" si="109"/>
        <v>48.79049298</v>
      </c>
      <c r="AA34" s="11">
        <f t="shared" si="110"/>
        <v>4.005691078</v>
      </c>
      <c r="AB34" s="281">
        <f t="shared" si="111"/>
        <v>45.68011814</v>
      </c>
      <c r="AC34" s="280" t="s">
        <v>325</v>
      </c>
      <c r="AD34" s="61"/>
      <c r="AE34" s="151">
        <f t="shared" si="112"/>
        <v>23.55216851</v>
      </c>
      <c r="AF34" s="11">
        <f t="shared" si="113"/>
        <v>5.203909413</v>
      </c>
      <c r="AG34" s="281">
        <f t="shared" si="114"/>
        <v>21.28229726</v>
      </c>
      <c r="AH34" s="61"/>
      <c r="AI34" s="61"/>
      <c r="AJ34" s="151">
        <f t="shared" si="115"/>
        <v>17.52737012</v>
      </c>
      <c r="AK34" s="11">
        <f t="shared" si="116"/>
        <v>5.355320688</v>
      </c>
      <c r="AL34" s="281">
        <f t="shared" si="117"/>
        <v>17.47261025</v>
      </c>
      <c r="AW34" s="196">
        <v>300.0</v>
      </c>
      <c r="AX34" s="151">
        <f t="shared" si="118"/>
        <v>50.42275114</v>
      </c>
      <c r="AY34" s="11">
        <f t="shared" si="119"/>
        <v>3.851698965</v>
      </c>
      <c r="AZ34" s="281">
        <f t="shared" si="120"/>
        <v>40.27076521</v>
      </c>
      <c r="BA34" s="280" t="s">
        <v>325</v>
      </c>
      <c r="BB34" s="61"/>
      <c r="BC34" s="151">
        <f t="shared" si="121"/>
        <v>42.97718196</v>
      </c>
      <c r="BD34" s="11">
        <f t="shared" si="122"/>
        <v>4.432496241</v>
      </c>
      <c r="BE34" s="281">
        <f t="shared" si="123"/>
        <v>40.22614249</v>
      </c>
      <c r="BF34" s="61"/>
      <c r="BG34" s="61"/>
      <c r="BH34" s="151">
        <f t="shared" si="124"/>
        <v>14.93491057</v>
      </c>
      <c r="BI34" s="11">
        <f t="shared" si="125"/>
        <v>5.415564853</v>
      </c>
      <c r="BJ34" s="281">
        <f t="shared" si="126"/>
        <v>10.71669249</v>
      </c>
    </row>
    <row r="35" ht="15.75" customHeight="1">
      <c r="A35" s="212">
        <v>400.0</v>
      </c>
      <c r="B35" s="213">
        <f t="shared" si="100"/>
        <v>70.2810306</v>
      </c>
      <c r="C35" s="214">
        <f t="shared" si="101"/>
        <v>3.777217671</v>
      </c>
      <c r="D35" s="408">
        <f t="shared" si="102"/>
        <v>73.86548811</v>
      </c>
      <c r="E35" s="286">
        <v>8.314</v>
      </c>
      <c r="G35" s="213">
        <f t="shared" si="103"/>
        <v>44.88641406</v>
      </c>
      <c r="H35" s="214">
        <f t="shared" si="104"/>
        <v>5.154296909</v>
      </c>
      <c r="I35" s="408">
        <f t="shared" si="105"/>
        <v>45.96993996</v>
      </c>
      <c r="L35" s="213">
        <f t="shared" si="106"/>
        <v>3.621508026</v>
      </c>
      <c r="M35" s="214">
        <f t="shared" si="107"/>
        <v>5.945091634</v>
      </c>
      <c r="N35" s="408">
        <f t="shared" si="108"/>
        <v>7.818507026</v>
      </c>
      <c r="Y35" s="212">
        <v>400.0</v>
      </c>
      <c r="Z35" s="213">
        <f t="shared" si="109"/>
        <v>53.17745323</v>
      </c>
      <c r="AA35" s="214">
        <f t="shared" si="110"/>
        <v>4.879226821</v>
      </c>
      <c r="AB35" s="408">
        <f t="shared" si="111"/>
        <v>56.28920974</v>
      </c>
      <c r="AC35" s="287">
        <v>8.314</v>
      </c>
      <c r="AD35" s="61"/>
      <c r="AE35" s="213">
        <f t="shared" si="112"/>
        <v>17.9981963</v>
      </c>
      <c r="AF35" s="214">
        <f t="shared" si="113"/>
        <v>5.73295973</v>
      </c>
      <c r="AG35" s="408">
        <f t="shared" si="114"/>
        <v>21.99916043</v>
      </c>
      <c r="AH35" s="61"/>
      <c r="AI35" s="61"/>
      <c r="AJ35" s="213">
        <f t="shared" si="115"/>
        <v>14.89839885</v>
      </c>
      <c r="AK35" s="214">
        <f t="shared" si="116"/>
        <v>5.784749426</v>
      </c>
      <c r="AL35" s="408">
        <f t="shared" si="117"/>
        <v>17.30354415</v>
      </c>
      <c r="AW35" s="212">
        <v>400.0</v>
      </c>
      <c r="AX35" s="213">
        <f t="shared" si="118"/>
        <v>52.38807784</v>
      </c>
      <c r="AY35" s="214">
        <f t="shared" si="119"/>
        <v>4.922590254</v>
      </c>
      <c r="AZ35" s="408">
        <f t="shared" si="120"/>
        <v>57.74021481</v>
      </c>
      <c r="BA35" s="287">
        <v>8.314</v>
      </c>
      <c r="BB35" s="61"/>
      <c r="BC35" s="213">
        <f t="shared" si="121"/>
        <v>45.56161814</v>
      </c>
      <c r="BD35" s="214">
        <f t="shared" si="122"/>
        <v>5.144651241</v>
      </c>
      <c r="BE35" s="408">
        <f t="shared" si="123"/>
        <v>48.75419861</v>
      </c>
      <c r="BF35" s="61"/>
      <c r="BG35" s="61"/>
      <c r="BH35" s="213">
        <f t="shared" si="124"/>
        <v>3.130591643</v>
      </c>
      <c r="BI35" s="214">
        <f t="shared" si="125"/>
        <v>5.951572019</v>
      </c>
      <c r="BJ35" s="408">
        <f t="shared" si="126"/>
        <v>9.143350651</v>
      </c>
    </row>
    <row r="36" ht="15.75" customHeight="1">
      <c r="A36" s="5"/>
      <c r="B36" s="141"/>
      <c r="C36" s="141"/>
      <c r="D36" s="155"/>
      <c r="G36" s="141"/>
      <c r="H36" s="141"/>
      <c r="L36" s="141"/>
      <c r="M36" s="141"/>
      <c r="AE36" s="141"/>
      <c r="AF36" s="141"/>
      <c r="AJ36" s="141"/>
      <c r="AK36" s="141"/>
      <c r="AW36" s="5"/>
      <c r="AX36" s="141"/>
      <c r="AY36" s="65"/>
      <c r="BA36" s="10"/>
      <c r="BC36" s="141"/>
      <c r="BD36" s="65"/>
      <c r="BH36" s="141"/>
      <c r="BI36" s="65"/>
    </row>
    <row r="37" ht="15.75" customHeight="1">
      <c r="A37" s="5"/>
      <c r="B37" s="141"/>
      <c r="E37" s="141"/>
      <c r="G37" s="141"/>
      <c r="H37" s="141"/>
      <c r="L37" s="65"/>
      <c r="M37" s="65"/>
      <c r="Y37" s="5"/>
      <c r="Z37" s="141"/>
      <c r="AA37" s="141"/>
      <c r="AB37" s="155"/>
      <c r="AC37" s="10"/>
      <c r="AE37" s="65"/>
      <c r="AF37" s="141"/>
      <c r="AJ37" s="65"/>
      <c r="AK37" s="65"/>
      <c r="AW37" s="5"/>
      <c r="AX37" s="141"/>
      <c r="AY37" s="65"/>
      <c r="BA37" s="141"/>
      <c r="BD37" s="141"/>
      <c r="BI37" s="65"/>
    </row>
    <row r="38" ht="15.75" customHeight="1">
      <c r="B38" s="141"/>
      <c r="E38" s="141"/>
      <c r="H38" s="141"/>
      <c r="Y38" s="5"/>
      <c r="Z38" s="141"/>
      <c r="AA38" s="65"/>
      <c r="AC38" s="141"/>
      <c r="AF38" s="141"/>
      <c r="AX38" s="141"/>
      <c r="BA38" s="141"/>
      <c r="BC38" s="65"/>
      <c r="BD38" s="141"/>
      <c r="BH38" s="65"/>
    </row>
    <row r="39" ht="15.75" customHeight="1">
      <c r="B39" s="141"/>
      <c r="E39" s="141"/>
      <c r="H39" s="141"/>
      <c r="Z39" s="141"/>
      <c r="AC39" s="141"/>
      <c r="AF39" s="141"/>
      <c r="AX39" s="141"/>
      <c r="BA39" s="141"/>
      <c r="BD39" s="141"/>
    </row>
    <row r="40" ht="15.75" customHeight="1">
      <c r="B40" s="166" t="s">
        <v>773</v>
      </c>
      <c r="C40" s="167" t="s">
        <v>774</v>
      </c>
      <c r="D40" s="167" t="s">
        <v>133</v>
      </c>
      <c r="E40" s="168" t="s">
        <v>775</v>
      </c>
      <c r="G40" s="166" t="s">
        <v>776</v>
      </c>
      <c r="H40" s="167" t="s">
        <v>777</v>
      </c>
      <c r="I40" s="167" t="s">
        <v>133</v>
      </c>
      <c r="J40" s="168" t="s">
        <v>778</v>
      </c>
      <c r="L40" s="166" t="s">
        <v>779</v>
      </c>
      <c r="M40" s="167" t="s">
        <v>780</v>
      </c>
      <c r="N40" s="167" t="s">
        <v>133</v>
      </c>
      <c r="O40" s="168" t="s">
        <v>781</v>
      </c>
      <c r="P40" s="222"/>
      <c r="Z40" s="166" t="s">
        <v>782</v>
      </c>
      <c r="AA40" s="167" t="s">
        <v>783</v>
      </c>
      <c r="AB40" s="167" t="s">
        <v>133</v>
      </c>
      <c r="AC40" s="168" t="s">
        <v>784</v>
      </c>
      <c r="AE40" s="166" t="s">
        <v>785</v>
      </c>
      <c r="AF40" s="167" t="s">
        <v>786</v>
      </c>
      <c r="AG40" s="167" t="s">
        <v>133</v>
      </c>
      <c r="AH40" s="168" t="s">
        <v>787</v>
      </c>
      <c r="AJ40" s="166" t="s">
        <v>788</v>
      </c>
      <c r="AK40" s="167" t="s">
        <v>789</v>
      </c>
      <c r="AL40" s="167" t="s">
        <v>133</v>
      </c>
      <c r="AM40" s="168" t="s">
        <v>790</v>
      </c>
      <c r="AN40" s="222"/>
      <c r="AX40" s="166" t="s">
        <v>791</v>
      </c>
      <c r="AY40" s="167" t="s">
        <v>792</v>
      </c>
      <c r="AZ40" s="167" t="s">
        <v>133</v>
      </c>
      <c r="BA40" s="168" t="s">
        <v>793</v>
      </c>
      <c r="BB40" s="5"/>
      <c r="BC40" s="166" t="s">
        <v>794</v>
      </c>
      <c r="BD40" s="167" t="s">
        <v>795</v>
      </c>
      <c r="BE40" s="167" t="s">
        <v>133</v>
      </c>
      <c r="BF40" s="168" t="s">
        <v>796</v>
      </c>
      <c r="BG40" s="5"/>
      <c r="BH40" s="166" t="s">
        <v>798</v>
      </c>
      <c r="BI40" s="167" t="s">
        <v>799</v>
      </c>
      <c r="BJ40" s="167" t="s">
        <v>133</v>
      </c>
      <c r="BK40" s="168" t="s">
        <v>800</v>
      </c>
      <c r="BL40" s="5"/>
    </row>
    <row r="41" ht="15.75" customHeight="1">
      <c r="B41" s="421">
        <f>EXP(4.3519)</f>
        <v>77.62581194</v>
      </c>
      <c r="C41" s="422">
        <f>-(-0.00004)</f>
        <v>0.00004</v>
      </c>
      <c r="D41" s="232">
        <f>1/F43</f>
        <v>111.8033989</v>
      </c>
      <c r="E41" s="295">
        <v>0.9751</v>
      </c>
      <c r="F41" s="10"/>
      <c r="G41" s="230">
        <f>EXP(3.7252)</f>
        <v>41.47952782</v>
      </c>
      <c r="H41" s="422">
        <f>-(-0.00002)</f>
        <v>0.00002</v>
      </c>
      <c r="I41" s="232">
        <f>1/K43</f>
        <v>158.113883</v>
      </c>
      <c r="J41" s="235">
        <v>0.9757</v>
      </c>
      <c r="K41" s="10"/>
      <c r="L41" s="230">
        <f>EXP(2.1711)</f>
        <v>8.767923454</v>
      </c>
      <c r="M41" s="294">
        <f>-(-0.00007)</f>
        <v>0.00007</v>
      </c>
      <c r="N41" s="232">
        <f>1/P43</f>
        <v>84.51542547</v>
      </c>
      <c r="O41" s="295">
        <v>0.1367</v>
      </c>
      <c r="P41" s="10"/>
      <c r="Z41" s="296">
        <f>EXP(3.8791)</f>
        <v>48.38065288</v>
      </c>
      <c r="AA41" s="297">
        <f>-(-0.000009)</f>
        <v>0.000009</v>
      </c>
      <c r="AB41" s="112">
        <f>1/AD43</f>
        <v>235.7022604</v>
      </c>
      <c r="AC41" s="256">
        <v>0.9529</v>
      </c>
      <c r="AD41" s="61"/>
      <c r="AE41" s="299">
        <f>EXP(3.0962)</f>
        <v>22.11375913</v>
      </c>
      <c r="AF41" s="300">
        <f>-(-0.00003)</f>
        <v>0.00003</v>
      </c>
      <c r="AG41" s="301">
        <f>1/AI43</f>
        <v>129.0994449</v>
      </c>
      <c r="AH41" s="304">
        <v>0.5521</v>
      </c>
      <c r="AI41" s="61"/>
      <c r="AJ41" s="296">
        <f>EXP(2.883)</f>
        <v>17.86779624</v>
      </c>
      <c r="AK41" s="300">
        <f>-(-0.000003)</f>
        <v>0.000003</v>
      </c>
      <c r="AL41" s="303">
        <f>1/AN43</f>
        <v>408.2482905</v>
      </c>
      <c r="AM41" s="304">
        <v>0.0333</v>
      </c>
      <c r="AX41" s="296">
        <f>EXP(3.963)</f>
        <v>52.61493422</v>
      </c>
      <c r="AY41" s="297">
        <f>-(-0.00004)</f>
        <v>0.00004</v>
      </c>
      <c r="AZ41" s="305">
        <f>1/BB43</f>
        <v>111.8033989</v>
      </c>
      <c r="BA41" s="256">
        <v>0.9703</v>
      </c>
      <c r="BB41" s="5"/>
      <c r="BC41" s="296">
        <f>EXP(3.7956)</f>
        <v>44.50493136</v>
      </c>
      <c r="BD41" s="297">
        <f>-(-0.00004)</f>
        <v>0.00004</v>
      </c>
      <c r="BE41" s="112">
        <f>1/BG43</f>
        <v>111.8033989</v>
      </c>
      <c r="BF41" s="256">
        <v>0.9945</v>
      </c>
      <c r="BG41" s="5"/>
      <c r="BH41" s="296">
        <f>EXP(2.2066)</f>
        <v>9.084775586</v>
      </c>
      <c r="BI41" s="297">
        <f>-(-0.00001)</f>
        <v>0.00001</v>
      </c>
      <c r="BJ41" s="112">
        <f>1/BL43</f>
        <v>223.6067977</v>
      </c>
      <c r="BK41" s="256">
        <v>0.1615</v>
      </c>
      <c r="BL41" s="5"/>
    </row>
    <row r="42" ht="15.75" customHeight="1">
      <c r="A42" s="147"/>
      <c r="B42" s="185" t="s">
        <v>803</v>
      </c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2"/>
      <c r="P42" s="277"/>
      <c r="Q42" s="147"/>
      <c r="R42" s="147"/>
      <c r="S42" s="147"/>
      <c r="T42" s="147"/>
      <c r="U42" s="147"/>
      <c r="V42" s="147"/>
      <c r="W42" s="147"/>
      <c r="X42" s="147"/>
      <c r="Y42" s="147"/>
      <c r="Z42" s="308" t="s">
        <v>355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/>
      <c r="AN42" s="277"/>
      <c r="AO42" s="147"/>
      <c r="AP42" s="147"/>
      <c r="AQ42" s="147"/>
      <c r="AR42" s="147"/>
      <c r="AS42" s="147"/>
      <c r="AT42" s="147"/>
      <c r="AU42" s="147"/>
      <c r="AV42" s="147"/>
      <c r="AW42" s="147"/>
      <c r="AX42" s="308" t="s">
        <v>356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4"/>
      <c r="BL42" s="309"/>
      <c r="BM42" s="147"/>
      <c r="BN42" s="147"/>
      <c r="BO42" s="147"/>
      <c r="BP42" s="147"/>
      <c r="BQ42" s="147"/>
      <c r="BR42" s="147"/>
      <c r="BS42" s="147"/>
      <c r="BT42" s="147"/>
      <c r="BU42" s="147"/>
    </row>
    <row r="43" ht="15.75" customHeight="1">
      <c r="A43" s="147"/>
      <c r="B43" s="191" t="s">
        <v>229</v>
      </c>
      <c r="C43" s="91"/>
      <c r="D43" s="91"/>
      <c r="E43" s="92"/>
      <c r="F43" s="10">
        <f>SQRT(2*C41)</f>
        <v>0.00894427191</v>
      </c>
      <c r="G43" s="279" t="s">
        <v>230</v>
      </c>
      <c r="H43" s="91"/>
      <c r="I43" s="91"/>
      <c r="J43" s="92"/>
      <c r="K43" s="10">
        <f>SQRT(2*H41)</f>
        <v>0.00632455532</v>
      </c>
      <c r="L43" s="279" t="s">
        <v>231</v>
      </c>
      <c r="M43" s="91"/>
      <c r="N43" s="91"/>
      <c r="O43" s="92"/>
      <c r="P43" s="10">
        <f>SQRT(2*M41)</f>
        <v>0.01183215957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91" t="s">
        <v>229</v>
      </c>
      <c r="AA43" s="91"/>
      <c r="AB43" s="91"/>
      <c r="AC43" s="92"/>
      <c r="AD43" s="1">
        <f>SQRT(2*AA41)</f>
        <v>0.004242640687</v>
      </c>
      <c r="AE43" s="187" t="s">
        <v>230</v>
      </c>
      <c r="AF43" s="188"/>
      <c r="AG43" s="188"/>
      <c r="AH43" s="189"/>
      <c r="AI43" s="1">
        <f>SQRT(2*AF41)</f>
        <v>0.007745966692</v>
      </c>
      <c r="AJ43" s="187" t="s">
        <v>231</v>
      </c>
      <c r="AK43" s="188"/>
      <c r="AL43" s="188"/>
      <c r="AM43" s="189"/>
      <c r="AN43" s="1">
        <f>SQRT(2*AK41)</f>
        <v>0.002449489743</v>
      </c>
      <c r="AO43" s="147"/>
      <c r="AP43" s="147"/>
      <c r="AQ43" s="147"/>
      <c r="AR43" s="147"/>
      <c r="AS43" s="147"/>
      <c r="AT43" s="147"/>
      <c r="AU43" s="147"/>
      <c r="AV43" s="147"/>
      <c r="AW43" s="147"/>
      <c r="AX43" s="191" t="s">
        <v>229</v>
      </c>
      <c r="AY43" s="91"/>
      <c r="AZ43" s="91"/>
      <c r="BA43" s="92"/>
      <c r="BB43" s="5">
        <f>SQRT(2*AY41)</f>
        <v>0.00894427191</v>
      </c>
      <c r="BC43" s="187" t="s">
        <v>230</v>
      </c>
      <c r="BD43" s="188"/>
      <c r="BE43" s="188"/>
      <c r="BF43" s="189"/>
      <c r="BG43" s="5">
        <f>SQRT(2*BD41)</f>
        <v>0.00894427191</v>
      </c>
      <c r="BH43" s="187" t="s">
        <v>231</v>
      </c>
      <c r="BI43" s="188"/>
      <c r="BJ43" s="188"/>
      <c r="BK43" s="189"/>
      <c r="BL43" s="5">
        <f>SQRT(2*BI41)</f>
        <v>0.004472135955</v>
      </c>
      <c r="BM43" s="147"/>
      <c r="BN43" s="147"/>
      <c r="BO43" s="147"/>
      <c r="BP43" s="147"/>
      <c r="BQ43" s="147"/>
      <c r="BR43" s="147"/>
      <c r="BS43" s="147"/>
      <c r="BT43" s="147"/>
      <c r="BU43" s="147"/>
    </row>
    <row r="44" ht="15.75" customHeight="1">
      <c r="A44" s="258" t="s">
        <v>168</v>
      </c>
      <c r="B44" s="166" t="s">
        <v>357</v>
      </c>
      <c r="C44" s="193" t="s">
        <v>358</v>
      </c>
      <c r="D44" s="167" t="s">
        <v>233</v>
      </c>
      <c r="E44" s="168" t="s">
        <v>171</v>
      </c>
      <c r="G44" s="166" t="s">
        <v>357</v>
      </c>
      <c r="H44" s="193" t="s">
        <v>358</v>
      </c>
      <c r="I44" s="167" t="s">
        <v>233</v>
      </c>
      <c r="J44" s="168" t="s">
        <v>171</v>
      </c>
      <c r="L44" s="166" t="s">
        <v>357</v>
      </c>
      <c r="M44" s="193" t="s">
        <v>358</v>
      </c>
      <c r="N44" s="167" t="s">
        <v>233</v>
      </c>
      <c r="O44" s="168" t="s">
        <v>171</v>
      </c>
      <c r="Y44" s="258" t="s">
        <v>168</v>
      </c>
      <c r="Z44" s="166" t="s">
        <v>357</v>
      </c>
      <c r="AA44" s="193" t="s">
        <v>358</v>
      </c>
      <c r="AB44" s="167" t="s">
        <v>233</v>
      </c>
      <c r="AC44" s="168" t="s">
        <v>171</v>
      </c>
      <c r="AE44" s="166" t="s">
        <v>357</v>
      </c>
      <c r="AF44" s="193" t="s">
        <v>358</v>
      </c>
      <c r="AG44" s="167" t="s">
        <v>233</v>
      </c>
      <c r="AH44" s="168" t="s">
        <v>171</v>
      </c>
      <c r="AJ44" s="166" t="s">
        <v>357</v>
      </c>
      <c r="AK44" s="193" t="s">
        <v>358</v>
      </c>
      <c r="AL44" s="167" t="s">
        <v>233</v>
      </c>
      <c r="AM44" s="168" t="s">
        <v>171</v>
      </c>
      <c r="AW44" s="258" t="s">
        <v>168</v>
      </c>
      <c r="AX44" s="166" t="s">
        <v>357</v>
      </c>
      <c r="AY44" s="193" t="s">
        <v>358</v>
      </c>
      <c r="AZ44" s="167" t="s">
        <v>233</v>
      </c>
      <c r="BA44" s="168" t="s">
        <v>171</v>
      </c>
      <c r="BB44" s="5"/>
      <c r="BC44" s="166" t="s">
        <v>357</v>
      </c>
      <c r="BD44" s="193" t="s">
        <v>358</v>
      </c>
      <c r="BE44" s="167" t="s">
        <v>233</v>
      </c>
      <c r="BF44" s="168" t="s">
        <v>171</v>
      </c>
      <c r="BG44" s="5"/>
      <c r="BH44" s="166" t="s">
        <v>357</v>
      </c>
      <c r="BI44" s="193" t="s">
        <v>358</v>
      </c>
      <c r="BJ44" s="167" t="s">
        <v>233</v>
      </c>
      <c r="BK44" s="168" t="s">
        <v>171</v>
      </c>
      <c r="BL44" s="5"/>
    </row>
    <row r="45" ht="15.75" customHeight="1">
      <c r="A45" s="196">
        <v>100.0</v>
      </c>
      <c r="B45" s="310">
        <f>((8.314*288)*(LN(1+1/B19)))^2</f>
        <v>40479.5743</v>
      </c>
      <c r="C45" s="34">
        <f t="shared" ref="C45:C48" si="127">LN(D45)</f>
        <v>2.868115973</v>
      </c>
      <c r="D45" s="11">
        <f t="shared" ref="D45:D48" si="128">B32</f>
        <v>17.60382087</v>
      </c>
      <c r="E45" s="260">
        <f t="shared" ref="E45:E48" si="129">$B$41*EXP(-$C$41*B45)</f>
        <v>15.37460355</v>
      </c>
      <c r="G45" s="310">
        <f t="shared" ref="G45:G48" si="130">((8.314*288)*(LN(1+1/G19)))^2</f>
        <v>46882.46177</v>
      </c>
      <c r="H45" s="34">
        <f t="shared" ref="H45:H48" si="131">LN(I45)</f>
        <v>2.877726283</v>
      </c>
      <c r="I45" s="11">
        <f t="shared" ref="I45:I48" si="132">G32</f>
        <v>17.77381457</v>
      </c>
      <c r="J45" s="260">
        <f t="shared" ref="J45:J48" si="133">$G$41*EXP(-$H$41*G45)</f>
        <v>16.24119254</v>
      </c>
      <c r="L45" s="310">
        <f t="shared" ref="L45:L48" si="134">((8.314*288)*(LN(1+1/L19)))^2</f>
        <v>7804.621816</v>
      </c>
      <c r="M45" s="34">
        <f t="shared" ref="M45:M48" si="135">LN(N45)</f>
        <v>2.67957143</v>
      </c>
      <c r="N45" s="11">
        <f t="shared" ref="N45:N48" si="136">L32</f>
        <v>14.57884391</v>
      </c>
      <c r="O45" s="260">
        <f t="shared" ref="O45:O48" si="137">$L$41*EXP(-$M$41*L45)</f>
        <v>5.077284</v>
      </c>
      <c r="Y45" s="196">
        <v>100.0</v>
      </c>
      <c r="Z45" s="310">
        <f t="shared" ref="Z45:Z48" si="138">((8.314*303)*(LN(1+1/Z19)))^2</f>
        <v>104429.5879</v>
      </c>
      <c r="AA45" s="11">
        <f t="shared" ref="AA45:AA48" si="139">LN(AB45)</f>
        <v>2.911602912</v>
      </c>
      <c r="AB45" s="11">
        <f t="shared" ref="AB45:AB48" si="140">Z32</f>
        <v>18.38624649</v>
      </c>
      <c r="AC45" s="260">
        <f t="shared" ref="AC45:AC48" si="141">$Z$41*EXP(-$AA$41*Z45)</f>
        <v>18.90135681</v>
      </c>
      <c r="AD45" s="61"/>
      <c r="AE45" s="310">
        <f t="shared" ref="AE45:AE48" si="142">((8.314*303)*(LN(1+1/AE19)))^2</f>
        <v>12085.78256</v>
      </c>
      <c r="AF45" s="34">
        <f t="shared" ref="AF45:AF48" si="143">LN(AG45)</f>
        <v>2.733581285</v>
      </c>
      <c r="AG45" s="11">
        <f t="shared" ref="AG45:AG48" si="144">AE32</f>
        <v>15.3878969</v>
      </c>
      <c r="AH45" s="260">
        <f t="shared" ref="AH45:AH48" si="145">$AE$41*EXP(-$AF$41*AE45)</f>
        <v>15.38859304</v>
      </c>
      <c r="AI45" s="61"/>
      <c r="AJ45" s="310">
        <f t="shared" ref="AJ45:AJ48" si="146">((8.314*303)*(LN(1+1/AJ19)))^2</f>
        <v>23551.64058</v>
      </c>
      <c r="AK45" s="20">
        <f t="shared" ref="AK45:AK48" si="147">LN(AL45)</f>
        <v>2.816732422</v>
      </c>
      <c r="AL45" s="11">
        <f t="shared" ref="AL45:AL48" si="148">AJ32</f>
        <v>16.72212047</v>
      </c>
      <c r="AM45" s="260">
        <f t="shared" ref="AM45:AM48" si="149">$AJ$41*EXP(-$AK$41*AJ45)</f>
        <v>16.64891549</v>
      </c>
      <c r="AW45" s="196">
        <v>100.0</v>
      </c>
      <c r="AX45" s="310">
        <f t="shared" ref="AX45:AX48" si="150">((8.314*318)*(LN(1+1/AX19)))^2</f>
        <v>26996.18344</v>
      </c>
      <c r="AY45" s="11">
        <f t="shared" ref="AY45:AY48" si="151">LN(AZ45)</f>
        <v>2.821416834</v>
      </c>
      <c r="AZ45" s="11">
        <f t="shared" ref="AZ45:AZ48" si="152">AX32</f>
        <v>16.80063753</v>
      </c>
      <c r="BA45" s="260">
        <f t="shared" ref="BA45:BA48" si="153">$AX$41*EXP(-$AY$41*AX45)</f>
        <v>17.87052419</v>
      </c>
      <c r="BB45" s="5"/>
      <c r="BC45" s="310">
        <f t="shared" ref="BC45:BC48" si="154">((8.314*318)*(LN(1+1/BC19)))^2</f>
        <v>25141.12725</v>
      </c>
      <c r="BD45" s="34">
        <f t="shared" ref="BD45:BD48" si="155">LN(BE45)</f>
        <v>2.816870227</v>
      </c>
      <c r="BE45" s="11">
        <f t="shared" ref="BE45:BE48" si="156">BC32</f>
        <v>16.72442503</v>
      </c>
      <c r="BF45" s="260">
        <f t="shared" ref="BF45:BF48" si="157">$BC$41*EXP(-$BD$41*BC45)</f>
        <v>16.28028571</v>
      </c>
      <c r="BG45" s="5"/>
      <c r="BH45" s="310">
        <f t="shared" ref="BH45:BH48" si="158">((8.314*318)*(LN(1+1/BH19)))^2</f>
        <v>49173.37865</v>
      </c>
      <c r="BI45" s="34">
        <f t="shared" ref="BI45:BI48" si="159">LN(BJ45)</f>
        <v>2.867018081</v>
      </c>
      <c r="BJ45" s="11">
        <f t="shared" ref="BJ45:BJ48" si="160">BH32</f>
        <v>17.58450437</v>
      </c>
      <c r="BK45" s="260">
        <f t="shared" ref="BK45:BK48" si="161">$BH$41*EXP(-$BI$41*BH45)</f>
        <v>5.555932154</v>
      </c>
      <c r="BL45" s="5"/>
    </row>
    <row r="46" ht="15.75" customHeight="1">
      <c r="A46" s="196">
        <v>200.0</v>
      </c>
      <c r="B46" s="310">
        <f t="shared" ref="B46:B48" si="162">(( 8.314*288)*(LN(1+1/B20)))^2</f>
        <v>17030.89598</v>
      </c>
      <c r="C46" s="34">
        <f t="shared" si="127"/>
        <v>3.582437795</v>
      </c>
      <c r="D46" s="11">
        <f t="shared" si="128"/>
        <v>35.96109985</v>
      </c>
      <c r="E46" s="260">
        <f t="shared" si="129"/>
        <v>39.2779841</v>
      </c>
      <c r="G46" s="310">
        <f t="shared" si="130"/>
        <v>6991.389304</v>
      </c>
      <c r="H46" s="34">
        <f t="shared" si="131"/>
        <v>3.525340602</v>
      </c>
      <c r="I46" s="11">
        <f t="shared" si="132"/>
        <v>33.9653403</v>
      </c>
      <c r="J46" s="260">
        <f t="shared" si="133"/>
        <v>36.06677978</v>
      </c>
      <c r="L46" s="310">
        <f t="shared" si="134"/>
        <v>552.4925768</v>
      </c>
      <c r="M46" s="34">
        <f t="shared" si="135"/>
        <v>2.977337911</v>
      </c>
      <c r="N46" s="11">
        <f t="shared" si="136"/>
        <v>19.63547562</v>
      </c>
      <c r="O46" s="260">
        <f t="shared" si="137"/>
        <v>8.435302009</v>
      </c>
      <c r="Y46" s="196">
        <v>200.0</v>
      </c>
      <c r="Z46" s="310">
        <f t="shared" si="138"/>
        <v>16108.20192</v>
      </c>
      <c r="AA46" s="11">
        <f t="shared" si="139"/>
        <v>3.578517309</v>
      </c>
      <c r="AB46" s="11">
        <f t="shared" si="140"/>
        <v>35.82039089</v>
      </c>
      <c r="AC46" s="260">
        <f t="shared" si="141"/>
        <v>41.85143907</v>
      </c>
      <c r="AD46" s="61"/>
      <c r="AE46" s="310">
        <f t="shared" si="142"/>
        <v>1132.406454</v>
      </c>
      <c r="AF46" s="34">
        <f t="shared" si="143"/>
        <v>3.213097451</v>
      </c>
      <c r="AG46" s="11">
        <f t="shared" si="144"/>
        <v>24.85595723</v>
      </c>
      <c r="AH46" s="260">
        <f t="shared" si="145"/>
        <v>21.37512379</v>
      </c>
      <c r="AI46" s="61"/>
      <c r="AJ46" s="310">
        <f t="shared" si="146"/>
        <v>782.8136951</v>
      </c>
      <c r="AK46" s="20">
        <f t="shared" si="147"/>
        <v>3.087839378</v>
      </c>
      <c r="AL46" s="11">
        <f t="shared" si="148"/>
        <v>21.92964508</v>
      </c>
      <c r="AM46" s="260">
        <f t="shared" si="149"/>
        <v>17.82588401</v>
      </c>
      <c r="AW46" s="196">
        <v>200.0</v>
      </c>
      <c r="AX46" s="310">
        <f t="shared" si="150"/>
        <v>7370.474324</v>
      </c>
      <c r="AY46" s="11">
        <f t="shared" si="151"/>
        <v>3.518632038</v>
      </c>
      <c r="AZ46" s="11">
        <f t="shared" si="152"/>
        <v>33.73824424</v>
      </c>
      <c r="BA46" s="260">
        <f t="shared" si="153"/>
        <v>39.1805726</v>
      </c>
      <c r="BB46" s="5"/>
      <c r="BC46" s="310">
        <f t="shared" si="154"/>
        <v>6198.560782</v>
      </c>
      <c r="BD46" s="34">
        <f t="shared" si="155"/>
        <v>3.504072507</v>
      </c>
      <c r="BE46" s="11">
        <f t="shared" si="156"/>
        <v>33.25058984</v>
      </c>
      <c r="BF46" s="260">
        <f t="shared" si="157"/>
        <v>34.73186512</v>
      </c>
      <c r="BG46" s="5"/>
      <c r="BH46" s="310">
        <f t="shared" si="158"/>
        <v>498.5741911</v>
      </c>
      <c r="BI46" s="34">
        <f t="shared" si="159"/>
        <v>2.790276782</v>
      </c>
      <c r="BJ46" s="11">
        <f t="shared" si="160"/>
        <v>16.28552673</v>
      </c>
      <c r="BK46" s="260">
        <f t="shared" si="161"/>
        <v>9.039593966</v>
      </c>
      <c r="BL46" s="5"/>
    </row>
    <row r="47" ht="15.75" customHeight="1">
      <c r="A47" s="196">
        <v>300.0</v>
      </c>
      <c r="B47" s="310">
        <f t="shared" si="162"/>
        <v>11529.74639</v>
      </c>
      <c r="C47" s="34">
        <f t="shared" si="127"/>
        <v>4.01582434</v>
      </c>
      <c r="D47" s="11">
        <f t="shared" si="128"/>
        <v>55.46900186</v>
      </c>
      <c r="E47" s="260">
        <f t="shared" si="129"/>
        <v>48.94563266</v>
      </c>
      <c r="G47" s="310">
        <f t="shared" si="130"/>
        <v>592.4771396</v>
      </c>
      <c r="H47" s="34">
        <f t="shared" si="131"/>
        <v>3.693114214</v>
      </c>
      <c r="I47" s="11">
        <f t="shared" si="132"/>
        <v>40.16974957</v>
      </c>
      <c r="J47" s="260">
        <f t="shared" si="133"/>
        <v>40.99091502</v>
      </c>
      <c r="L47" s="310">
        <f t="shared" si="134"/>
        <v>93.45899523</v>
      </c>
      <c r="M47" s="34">
        <f t="shared" si="135"/>
        <v>2.350000952</v>
      </c>
      <c r="N47" s="11">
        <f t="shared" si="136"/>
        <v>10.48557971</v>
      </c>
      <c r="O47" s="260">
        <f t="shared" si="137"/>
        <v>8.710749784</v>
      </c>
      <c r="Y47" s="196">
        <v>300.0</v>
      </c>
      <c r="Z47" s="310">
        <f t="shared" si="138"/>
        <v>2067.075615</v>
      </c>
      <c r="AA47" s="11">
        <f t="shared" si="139"/>
        <v>3.887535478</v>
      </c>
      <c r="AB47" s="11">
        <f t="shared" si="140"/>
        <v>48.79049298</v>
      </c>
      <c r="AC47" s="260">
        <f t="shared" si="141"/>
        <v>47.48891519</v>
      </c>
      <c r="AD47" s="61"/>
      <c r="AE47" s="310">
        <f t="shared" si="142"/>
        <v>190.5750282</v>
      </c>
      <c r="AF47" s="34">
        <f t="shared" si="143"/>
        <v>3.159217897</v>
      </c>
      <c r="AG47" s="11">
        <f t="shared" si="144"/>
        <v>23.55216851</v>
      </c>
      <c r="AH47" s="260">
        <f t="shared" si="145"/>
        <v>21.98768995</v>
      </c>
      <c r="AI47" s="61"/>
      <c r="AJ47" s="310">
        <f t="shared" si="146"/>
        <v>140.8918015</v>
      </c>
      <c r="AK47" s="20">
        <f t="shared" si="147"/>
        <v>2.863763666</v>
      </c>
      <c r="AL47" s="11">
        <f t="shared" si="148"/>
        <v>17.52737012</v>
      </c>
      <c r="AM47" s="260">
        <f t="shared" si="149"/>
        <v>17.86024556</v>
      </c>
      <c r="AW47" s="196">
        <v>300.0</v>
      </c>
      <c r="AX47" s="310">
        <f t="shared" si="150"/>
        <v>3088.771076</v>
      </c>
      <c r="AY47" s="11">
        <f t="shared" si="151"/>
        <v>3.920442485</v>
      </c>
      <c r="AZ47" s="11">
        <f t="shared" si="152"/>
        <v>50.42275114</v>
      </c>
      <c r="BA47" s="260">
        <f t="shared" si="153"/>
        <v>46.49985326</v>
      </c>
      <c r="BB47" s="5"/>
      <c r="BC47" s="310">
        <f t="shared" si="154"/>
        <v>975.7102</v>
      </c>
      <c r="BD47" s="34">
        <f t="shared" si="155"/>
        <v>3.760669323</v>
      </c>
      <c r="BE47" s="11">
        <f t="shared" si="156"/>
        <v>42.97718196</v>
      </c>
      <c r="BF47" s="260">
        <f t="shared" si="157"/>
        <v>42.80143337</v>
      </c>
      <c r="BG47" s="5"/>
      <c r="BH47" s="310">
        <f t="shared" si="158"/>
        <v>137.6089729</v>
      </c>
      <c r="BI47" s="34">
        <f t="shared" si="159"/>
        <v>2.703701464</v>
      </c>
      <c r="BJ47" s="11">
        <f t="shared" si="160"/>
        <v>14.93491057</v>
      </c>
      <c r="BK47" s="260">
        <f t="shared" si="161"/>
        <v>9.072282718</v>
      </c>
      <c r="BL47" s="5"/>
    </row>
    <row r="48" ht="15.75" customHeight="1">
      <c r="A48" s="212">
        <v>400.0</v>
      </c>
      <c r="B48" s="311">
        <f t="shared" si="162"/>
        <v>2935.68564</v>
      </c>
      <c r="C48" s="374">
        <f t="shared" si="127"/>
        <v>4.252501927</v>
      </c>
      <c r="D48" s="214">
        <f t="shared" si="128"/>
        <v>70.2810306</v>
      </c>
      <c r="E48" s="267">
        <f t="shared" si="129"/>
        <v>69.02526344</v>
      </c>
      <c r="G48" s="311">
        <f t="shared" si="130"/>
        <v>190.0805882</v>
      </c>
      <c r="H48" s="374">
        <f t="shared" si="131"/>
        <v>3.804135167</v>
      </c>
      <c r="I48" s="214">
        <f t="shared" si="132"/>
        <v>44.88641406</v>
      </c>
      <c r="J48" s="267">
        <f t="shared" si="133"/>
        <v>41.32213812</v>
      </c>
      <c r="L48" s="311">
        <f t="shared" si="134"/>
        <v>39.21281335</v>
      </c>
      <c r="M48" s="374">
        <f t="shared" si="135"/>
        <v>1.286890521</v>
      </c>
      <c r="N48" s="214">
        <f t="shared" si="136"/>
        <v>3.621508026</v>
      </c>
      <c r="O48" s="267">
        <f t="shared" si="137"/>
        <v>8.743889408</v>
      </c>
      <c r="Y48" s="212">
        <v>400.0</v>
      </c>
      <c r="Z48" s="311">
        <f t="shared" si="138"/>
        <v>364.0585607</v>
      </c>
      <c r="AA48" s="214">
        <f t="shared" si="139"/>
        <v>3.973634495</v>
      </c>
      <c r="AB48" s="214">
        <f t="shared" si="140"/>
        <v>53.17745323</v>
      </c>
      <c r="AC48" s="267">
        <f t="shared" si="141"/>
        <v>48.22239178</v>
      </c>
      <c r="AD48" s="61"/>
      <c r="AE48" s="311">
        <f t="shared" si="142"/>
        <v>66.30031918</v>
      </c>
      <c r="AF48" s="374">
        <f t="shared" si="143"/>
        <v>2.890271547</v>
      </c>
      <c r="AG48" s="214">
        <f t="shared" si="144"/>
        <v>17.9981963</v>
      </c>
      <c r="AH48" s="267">
        <f t="shared" si="145"/>
        <v>22.06981837</v>
      </c>
      <c r="AI48" s="61"/>
      <c r="AJ48" s="311">
        <f t="shared" si="146"/>
        <v>59.78640475</v>
      </c>
      <c r="AK48" s="323">
        <f t="shared" si="147"/>
        <v>2.701253747</v>
      </c>
      <c r="AL48" s="214">
        <f t="shared" si="148"/>
        <v>14.89839885</v>
      </c>
      <c r="AM48" s="267">
        <f t="shared" si="149"/>
        <v>17.86459178</v>
      </c>
      <c r="AW48" s="212">
        <v>400.0</v>
      </c>
      <c r="AX48" s="311">
        <f t="shared" si="150"/>
        <v>367.8023417</v>
      </c>
      <c r="AY48" s="214">
        <f t="shared" si="151"/>
        <v>3.958679043</v>
      </c>
      <c r="AZ48" s="214">
        <f t="shared" si="152"/>
        <v>52.38807784</v>
      </c>
      <c r="BA48" s="267">
        <f t="shared" si="153"/>
        <v>51.8465247</v>
      </c>
      <c r="BB48" s="5"/>
      <c r="BC48" s="311">
        <f t="shared" si="154"/>
        <v>236.2440953</v>
      </c>
      <c r="BD48" s="374">
        <f t="shared" si="155"/>
        <v>3.819065655</v>
      </c>
      <c r="BE48" s="214">
        <f t="shared" si="156"/>
        <v>45.56161814</v>
      </c>
      <c r="BF48" s="267">
        <f t="shared" si="157"/>
        <v>44.08635112</v>
      </c>
      <c r="BG48" s="5"/>
      <c r="BH48" s="311">
        <f t="shared" si="158"/>
        <v>47.19280654</v>
      </c>
      <c r="BI48" s="374">
        <f t="shared" si="159"/>
        <v>1.14122201</v>
      </c>
      <c r="BJ48" s="214">
        <f t="shared" si="160"/>
        <v>3.130591643</v>
      </c>
      <c r="BK48" s="267">
        <f t="shared" si="161"/>
        <v>9.080489237</v>
      </c>
      <c r="BL48" s="5"/>
    </row>
    <row r="49" ht="15.75" customHeight="1">
      <c r="A49" s="5"/>
      <c r="B49" s="312"/>
      <c r="C49" s="65"/>
      <c r="D49" s="312"/>
      <c r="G49" s="312"/>
      <c r="H49" s="65"/>
      <c r="L49" s="312"/>
      <c r="M49" s="65"/>
      <c r="Y49" s="5"/>
      <c r="Z49" s="312"/>
      <c r="AA49" s="65"/>
      <c r="AE49" s="312"/>
      <c r="AF49" s="65"/>
      <c r="AJ49" s="312"/>
      <c r="AW49" s="5"/>
      <c r="AX49" s="312"/>
      <c r="BC49" s="312"/>
      <c r="BH49" s="312"/>
    </row>
    <row r="50" ht="15.75" customHeight="1">
      <c r="A50" s="5"/>
      <c r="B50" s="312"/>
      <c r="C50" s="5"/>
      <c r="G50" s="312"/>
      <c r="H50" s="5"/>
      <c r="L50" s="312"/>
      <c r="M50" s="5"/>
      <c r="Y50" s="5"/>
      <c r="Z50" s="312"/>
      <c r="AA50" s="65"/>
      <c r="AE50" s="312"/>
      <c r="AF50" s="65"/>
      <c r="AJ50" s="312"/>
      <c r="AW50" s="5"/>
      <c r="AX50" s="312"/>
      <c r="BC50" s="312"/>
      <c r="BH50" s="312"/>
    </row>
    <row r="51" ht="15.75" customHeight="1">
      <c r="C51" s="5"/>
    </row>
    <row r="52" ht="15.75" customHeight="1"/>
    <row r="53" ht="15.75" hidden="1" customHeight="1"/>
    <row r="54" ht="15.75" hidden="1" customHeight="1"/>
    <row r="55" ht="15.75" hidden="1" customHeight="1">
      <c r="A55" s="147"/>
      <c r="B55" s="278" t="s">
        <v>808</v>
      </c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9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87" t="s">
        <v>360</v>
      </c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9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278" t="s">
        <v>361</v>
      </c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9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</row>
    <row r="56" ht="15.75" hidden="1" customHeight="1">
      <c r="A56" s="147"/>
      <c r="B56" s="313" t="s">
        <v>229</v>
      </c>
      <c r="C56" s="314"/>
      <c r="D56" s="314"/>
      <c r="E56" s="234"/>
      <c r="F56" s="313" t="s">
        <v>230</v>
      </c>
      <c r="G56" s="314"/>
      <c r="H56" s="314"/>
      <c r="I56" s="234"/>
      <c r="J56" s="313" t="s">
        <v>231</v>
      </c>
      <c r="K56" s="314"/>
      <c r="L56" s="314"/>
      <c r="M56" s="234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315" t="s">
        <v>229</v>
      </c>
      <c r="AA56" s="314"/>
      <c r="AB56" s="314"/>
      <c r="AC56" s="234"/>
      <c r="AD56" s="315" t="s">
        <v>230</v>
      </c>
      <c r="AE56" s="314"/>
      <c r="AF56" s="314"/>
      <c r="AG56" s="234"/>
      <c r="AH56" s="315" t="s">
        <v>231</v>
      </c>
      <c r="AI56" s="314"/>
      <c r="AJ56" s="314"/>
      <c r="AK56" s="234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316" t="s">
        <v>229</v>
      </c>
      <c r="AY56" s="314"/>
      <c r="AZ56" s="314"/>
      <c r="BA56" s="234"/>
      <c r="BB56" s="316" t="s">
        <v>230</v>
      </c>
      <c r="BC56" s="314"/>
      <c r="BD56" s="314"/>
      <c r="BE56" s="234"/>
      <c r="BF56" s="316" t="s">
        <v>231</v>
      </c>
      <c r="BG56" s="314"/>
      <c r="BH56" s="314"/>
      <c r="BI56" s="234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</row>
    <row r="57" ht="15.75" hidden="1" customHeight="1">
      <c r="A57" s="258" t="s">
        <v>168</v>
      </c>
      <c r="B57" s="317" t="s">
        <v>232</v>
      </c>
      <c r="C57" s="50" t="s">
        <v>233</v>
      </c>
      <c r="D57" s="50" t="s">
        <v>362</v>
      </c>
      <c r="E57" s="318" t="s">
        <v>363</v>
      </c>
      <c r="F57" s="317" t="s">
        <v>232</v>
      </c>
      <c r="G57" s="50" t="s">
        <v>233</v>
      </c>
      <c r="H57" s="50" t="s">
        <v>362</v>
      </c>
      <c r="I57" s="318" t="s">
        <v>363</v>
      </c>
      <c r="J57" s="317" t="s">
        <v>232</v>
      </c>
      <c r="K57" s="50" t="s">
        <v>233</v>
      </c>
      <c r="L57" s="50" t="s">
        <v>362</v>
      </c>
      <c r="M57" s="318" t="s">
        <v>363</v>
      </c>
      <c r="Y57" s="258" t="s">
        <v>168</v>
      </c>
      <c r="Z57" s="317" t="s">
        <v>232</v>
      </c>
      <c r="AA57" s="50" t="s">
        <v>233</v>
      </c>
      <c r="AB57" s="50" t="s">
        <v>362</v>
      </c>
      <c r="AC57" s="318" t="s">
        <v>363</v>
      </c>
      <c r="AD57" s="317" t="s">
        <v>232</v>
      </c>
      <c r="AE57" s="50" t="s">
        <v>233</v>
      </c>
      <c r="AF57" s="50" t="s">
        <v>362</v>
      </c>
      <c r="AG57" s="318" t="s">
        <v>363</v>
      </c>
      <c r="AH57" s="317" t="s">
        <v>232</v>
      </c>
      <c r="AI57" s="50" t="s">
        <v>233</v>
      </c>
      <c r="AJ57" s="50" t="s">
        <v>362</v>
      </c>
      <c r="AK57" s="318" t="s">
        <v>363</v>
      </c>
      <c r="AW57" s="258" t="s">
        <v>168</v>
      </c>
      <c r="AX57" s="317" t="s">
        <v>232</v>
      </c>
      <c r="AY57" s="50" t="s">
        <v>233</v>
      </c>
      <c r="AZ57" s="50" t="s">
        <v>362</v>
      </c>
      <c r="BA57" s="318" t="s">
        <v>363</v>
      </c>
      <c r="BB57" s="317" t="s">
        <v>232</v>
      </c>
      <c r="BC57" s="50" t="s">
        <v>233</v>
      </c>
      <c r="BD57" s="50" t="s">
        <v>362</v>
      </c>
      <c r="BE57" s="318" t="s">
        <v>363</v>
      </c>
      <c r="BF57" s="317" t="s">
        <v>232</v>
      </c>
      <c r="BG57" s="50" t="s">
        <v>233</v>
      </c>
      <c r="BH57" s="50" t="s">
        <v>362</v>
      </c>
      <c r="BI57" s="318" t="s">
        <v>363</v>
      </c>
    </row>
    <row r="58" ht="15.75" hidden="1" customHeight="1">
      <c r="A58" s="319">
        <v>50.0</v>
      </c>
      <c r="B58" s="151">
        <v>2.5304659498207887</v>
      </c>
      <c r="C58" s="11">
        <v>8.448130922589387</v>
      </c>
      <c r="D58" s="43">
        <f t="shared" ref="D58:E58" si="163">1/B58</f>
        <v>0.395184136</v>
      </c>
      <c r="E58" s="125">
        <f t="shared" si="163"/>
        <v>0.1183693777</v>
      </c>
      <c r="F58" s="151">
        <v>27.6200716845878</v>
      </c>
      <c r="G58" s="11">
        <v>5.050890008015365</v>
      </c>
      <c r="H58" s="43">
        <f t="shared" ref="H58:I58" si="164">1/F58</f>
        <v>0.03620555411</v>
      </c>
      <c r="I58" s="125">
        <f t="shared" si="164"/>
        <v>0.1979849093</v>
      </c>
      <c r="J58" s="151">
        <v>12.924731182795696</v>
      </c>
      <c r="K58" s="11">
        <v>6.994899069379541</v>
      </c>
      <c r="L58" s="43">
        <f t="shared" ref="L58:M58" si="165">1/J58</f>
        <v>0.07737104825</v>
      </c>
      <c r="M58" s="125">
        <f t="shared" si="165"/>
        <v>0.1429613194</v>
      </c>
      <c r="Y58" s="319">
        <v>50.0</v>
      </c>
      <c r="Z58" s="320">
        <v>4.681003584229391</v>
      </c>
      <c r="AA58" s="20">
        <v>6.601273545336687</v>
      </c>
      <c r="AB58" s="20">
        <f t="shared" ref="AB58:AC58" si="166">1/Z58</f>
        <v>0.2136294028</v>
      </c>
      <c r="AC58" s="321">
        <f t="shared" si="166"/>
        <v>0.1514859206</v>
      </c>
      <c r="AD58" s="320">
        <v>7.548387096774192</v>
      </c>
      <c r="AE58" s="20">
        <v>6.197318057836213</v>
      </c>
      <c r="AF58" s="20">
        <f t="shared" ref="AF58:AG58" si="167">1/AD58</f>
        <v>0.1324786325</v>
      </c>
      <c r="AG58" s="321">
        <f t="shared" si="167"/>
        <v>0.1613601223</v>
      </c>
      <c r="AH58" s="320">
        <v>15.97132616487455</v>
      </c>
      <c r="AI58" s="20">
        <v>5.075859199580501</v>
      </c>
      <c r="AJ58" s="20">
        <f t="shared" ref="AJ58:AK58" si="168">1/AH58</f>
        <v>0.06261220826</v>
      </c>
      <c r="AK58" s="321">
        <f t="shared" si="168"/>
        <v>0.1970109809</v>
      </c>
      <c r="AW58" s="319">
        <v>50.0</v>
      </c>
      <c r="AX58" s="320">
        <v>2.351254480286738</v>
      </c>
      <c r="AY58" s="20">
        <v>7.230123505633468</v>
      </c>
      <c r="AZ58" s="20">
        <f t="shared" ref="AZ58:BA58" si="169">1/AX58</f>
        <v>0.425304878</v>
      </c>
      <c r="BA58" s="321">
        <f t="shared" si="169"/>
        <v>0.1383102238</v>
      </c>
      <c r="BB58" s="320">
        <v>9.519713261648745</v>
      </c>
      <c r="BC58" s="20">
        <v>6.326509740684451</v>
      </c>
      <c r="BD58" s="20">
        <f t="shared" ref="BD58:BE58" si="170">1/BB58</f>
        <v>0.1050451807</v>
      </c>
      <c r="BE58" s="321">
        <f t="shared" si="170"/>
        <v>0.1580650376</v>
      </c>
      <c r="BF58" s="320">
        <v>5.577060931899641</v>
      </c>
      <c r="BG58" s="20">
        <v>6.836149120802889</v>
      </c>
      <c r="BH58" s="20">
        <f t="shared" ref="BH58:BI58" si="171">1/BF58</f>
        <v>0.1793059126</v>
      </c>
      <c r="BI58" s="321">
        <f t="shared" si="171"/>
        <v>0.1462811858</v>
      </c>
    </row>
    <row r="59" ht="15.75" hidden="1" customHeight="1">
      <c r="A59" s="319">
        <v>75.0</v>
      </c>
      <c r="B59" s="151">
        <v>2.3512544802867383</v>
      </c>
      <c r="C59" s="11">
        <v>13.04230785167831</v>
      </c>
      <c r="D59" s="43">
        <f t="shared" ref="D59:E59" si="172">1/B59</f>
        <v>0.425304878</v>
      </c>
      <c r="E59" s="125">
        <f t="shared" si="172"/>
        <v>0.07667354669</v>
      </c>
      <c r="F59" s="151">
        <v>57.189964157706086</v>
      </c>
      <c r="G59" s="11">
        <v>5.612546856856714</v>
      </c>
      <c r="H59" s="43">
        <f t="shared" ref="H59:I59" si="173">1/F59</f>
        <v>0.01748558536</v>
      </c>
      <c r="I59" s="125">
        <f t="shared" si="173"/>
        <v>0.1781722319</v>
      </c>
      <c r="J59" s="151">
        <v>32.63799283154122</v>
      </c>
      <c r="K59" s="11">
        <v>8.833198692120565</v>
      </c>
      <c r="L59" s="43">
        <f t="shared" ref="L59:M59" si="174">1/J59</f>
        <v>0.03063913903</v>
      </c>
      <c r="M59" s="125">
        <f t="shared" si="174"/>
        <v>0.1132092728</v>
      </c>
      <c r="Y59" s="319">
        <v>75.0</v>
      </c>
      <c r="Z59" s="320">
        <v>4.860215053763441</v>
      </c>
      <c r="AA59" s="20">
        <v>10.772858799528137</v>
      </c>
      <c r="AB59" s="20">
        <f t="shared" ref="AB59:AC59" si="175">1/Z59</f>
        <v>0.2057522124</v>
      </c>
      <c r="AC59" s="321">
        <f t="shared" si="175"/>
        <v>0.09282587089</v>
      </c>
      <c r="AD59" s="320">
        <v>16.688172043010752</v>
      </c>
      <c r="AE59" s="20">
        <v>9.218974999260887</v>
      </c>
      <c r="AF59" s="20">
        <f t="shared" ref="AF59:AG59" si="176">1/AD59</f>
        <v>0.05992268041</v>
      </c>
      <c r="AG59" s="321">
        <f t="shared" si="176"/>
        <v>0.1084719288</v>
      </c>
      <c r="AH59" s="320">
        <v>32.817204301075265</v>
      </c>
      <c r="AI59" s="20">
        <v>7.046960748799184</v>
      </c>
      <c r="AJ59" s="20">
        <f t="shared" ref="AJ59:AK59" si="177">1/AH59</f>
        <v>0.03047182176</v>
      </c>
      <c r="AK59" s="321">
        <f t="shared" si="177"/>
        <v>0.1419051469</v>
      </c>
      <c r="AW59" s="319">
        <v>75.0</v>
      </c>
      <c r="AX59" s="320">
        <v>2.5304659498207887</v>
      </c>
      <c r="AY59" s="20">
        <v>11.019271082905224</v>
      </c>
      <c r="AZ59" s="20">
        <f t="shared" ref="AZ59:BA59" si="178">1/AX59</f>
        <v>0.395184136</v>
      </c>
      <c r="BA59" s="321">
        <f t="shared" si="178"/>
        <v>0.09075010429</v>
      </c>
      <c r="BB59" s="320">
        <v>21.34767025089606</v>
      </c>
      <c r="BC59" s="20">
        <v>8.482348979232412</v>
      </c>
      <c r="BD59" s="20">
        <f t="shared" ref="BD59:BE59" si="179">1/BB59</f>
        <v>0.04684351914</v>
      </c>
      <c r="BE59" s="321">
        <f t="shared" si="179"/>
        <v>0.117891872</v>
      </c>
      <c r="BF59" s="320">
        <v>9.519713261648743</v>
      </c>
      <c r="BG59" s="20">
        <v>11.249502421847936</v>
      </c>
      <c r="BH59" s="20">
        <f t="shared" ref="BH59:BI59" si="180">1/BF59</f>
        <v>0.1050451807</v>
      </c>
      <c r="BI59" s="321">
        <f t="shared" si="180"/>
        <v>0.08889282054</v>
      </c>
    </row>
    <row r="60" ht="15.75" hidden="1" customHeight="1">
      <c r="A60" s="319">
        <v>100.0</v>
      </c>
      <c r="B60" s="151">
        <v>6.831541218637992</v>
      </c>
      <c r="C60" s="11">
        <v>14.567819227317436</v>
      </c>
      <c r="D60" s="43">
        <f t="shared" ref="D60:E60" si="181">1/B60</f>
        <v>0.1463798531</v>
      </c>
      <c r="E60" s="125">
        <f t="shared" si="181"/>
        <v>0.06864445422</v>
      </c>
      <c r="F60" s="151">
        <v>65.0</v>
      </c>
      <c r="G60" s="11">
        <v>7.0</v>
      </c>
      <c r="H60" s="43">
        <f t="shared" ref="H60:I60" si="182">1/F60</f>
        <v>0.01538461538</v>
      </c>
      <c r="I60" s="125">
        <f t="shared" si="182"/>
        <v>0.1428571429</v>
      </c>
      <c r="J60" s="151">
        <v>38.19354838709677</v>
      </c>
      <c r="K60" s="11">
        <v>10.49759050607947</v>
      </c>
      <c r="L60" s="43">
        <f t="shared" ref="L60:M60" si="183">1/J60</f>
        <v>0.02618243243</v>
      </c>
      <c r="M60" s="125">
        <f t="shared" si="183"/>
        <v>0.09525995507</v>
      </c>
      <c r="Y60" s="319">
        <v>100.0</v>
      </c>
      <c r="Z60" s="320">
        <v>5.935483870967742</v>
      </c>
      <c r="AA60" s="20">
        <v>13.901898408523735</v>
      </c>
      <c r="AB60" s="20">
        <f t="shared" ref="AB60:AC60" si="184">1/Z60</f>
        <v>0.1684782609</v>
      </c>
      <c r="AC60" s="321">
        <f t="shared" si="184"/>
        <v>0.07193262176</v>
      </c>
      <c r="AD60" s="320">
        <v>26.00716845878136</v>
      </c>
      <c r="AE60" s="20">
        <v>11.206051440959174</v>
      </c>
      <c r="AF60" s="20">
        <f t="shared" ref="AF60:AG60" si="185">1/AD60</f>
        <v>0.03845093716</v>
      </c>
      <c r="AG60" s="321">
        <f t="shared" si="185"/>
        <v>0.08923749862</v>
      </c>
      <c r="AH60" s="320">
        <v>52.35125448028673</v>
      </c>
      <c r="AI60" s="20">
        <v>7.793846654304835</v>
      </c>
      <c r="AJ60" s="20">
        <f t="shared" ref="AJ60:AK60" si="186">1/AH60</f>
        <v>0.01910173901</v>
      </c>
      <c r="AK60" s="321">
        <f t="shared" si="186"/>
        <v>0.1283063479</v>
      </c>
      <c r="AW60" s="319">
        <v>100.0</v>
      </c>
      <c r="AX60" s="320">
        <v>2.8888888888888884</v>
      </c>
      <c r="AY60" s="20">
        <v>14.143820326926342</v>
      </c>
      <c r="AZ60" s="20">
        <f t="shared" ref="AZ60:BA60" si="187">1/AX60</f>
        <v>0.3461538462</v>
      </c>
      <c r="BA60" s="321">
        <f t="shared" si="187"/>
        <v>0.07070225561</v>
      </c>
      <c r="BB60" s="320">
        <v>31.025089605734763</v>
      </c>
      <c r="BC60" s="20">
        <v>10.459936833883226</v>
      </c>
      <c r="BD60" s="20">
        <f t="shared" ref="BD60:BE60" si="188">1/BB60</f>
        <v>0.03223197782</v>
      </c>
      <c r="BE60" s="321">
        <f t="shared" si="188"/>
        <v>0.09560287178</v>
      </c>
      <c r="BF60" s="320">
        <v>15.97132616487455</v>
      </c>
      <c r="BG60" s="20">
        <v>12.43190091644241</v>
      </c>
      <c r="BH60" s="20">
        <f t="shared" ref="BH60:BI60" si="189">1/BF60</f>
        <v>0.06261220826</v>
      </c>
      <c r="BI60" s="321">
        <f t="shared" si="189"/>
        <v>0.08043822153</v>
      </c>
    </row>
    <row r="61" ht="15.75" hidden="1" customHeight="1">
      <c r="A61" s="319">
        <v>150.0</v>
      </c>
      <c r="B61" s="151">
        <v>12.387096774193548</v>
      </c>
      <c r="C61" s="11">
        <v>19.079139057562784</v>
      </c>
      <c r="D61" s="43">
        <f t="shared" ref="D61:E61" si="190">1/B61</f>
        <v>0.08072916667</v>
      </c>
      <c r="E61" s="125">
        <f t="shared" si="190"/>
        <v>0.0524132665</v>
      </c>
      <c r="F61" s="151">
        <v>100.55913978494621</v>
      </c>
      <c r="G61" s="11">
        <v>7.168784841064191</v>
      </c>
      <c r="H61" s="43">
        <f t="shared" ref="H61:I61" si="191">1/F61</f>
        <v>0.00994439692</v>
      </c>
      <c r="I61" s="125">
        <f t="shared" si="191"/>
        <v>0.1394936551</v>
      </c>
      <c r="J61" s="151">
        <v>73.49820788530465</v>
      </c>
      <c r="K61" s="11">
        <v>10.738208905573646</v>
      </c>
      <c r="L61" s="43">
        <f t="shared" ref="L61:M61" si="192">1/J61</f>
        <v>0.01360577392</v>
      </c>
      <c r="M61" s="125">
        <f t="shared" si="192"/>
        <v>0.09312540004</v>
      </c>
      <c r="Y61" s="319">
        <v>150.0</v>
      </c>
      <c r="Z61" s="320">
        <v>5.577060931899641</v>
      </c>
      <c r="AA61" s="20">
        <v>18.301508975302504</v>
      </c>
      <c r="AB61" s="20">
        <f t="shared" ref="AB61:AC61" si="193">1/Z61</f>
        <v>0.1793059126</v>
      </c>
      <c r="AC61" s="321">
        <f t="shared" si="193"/>
        <v>0.05464030323</v>
      </c>
      <c r="AD61" s="320">
        <v>48.76702508960573</v>
      </c>
      <c r="AE61" s="20">
        <v>12.400822397213869</v>
      </c>
      <c r="AF61" s="20">
        <f t="shared" ref="AF61:AG61" si="194">1/AD61</f>
        <v>0.02050565927</v>
      </c>
      <c r="AG61" s="321">
        <f t="shared" si="194"/>
        <v>0.08063981307</v>
      </c>
      <c r="AH61" s="320">
        <v>76.00716845878135</v>
      </c>
      <c r="AI61" s="20">
        <v>8.901544665920543</v>
      </c>
      <c r="AJ61" s="20">
        <f t="shared" ref="AJ61:AK61" si="195">1/AH61</f>
        <v>0.01315665378</v>
      </c>
      <c r="AK61" s="321">
        <f t="shared" si="195"/>
        <v>0.1123400531</v>
      </c>
      <c r="AW61" s="319">
        <v>150.0</v>
      </c>
      <c r="AX61" s="320">
        <v>7.189964157706092</v>
      </c>
      <c r="AY61" s="20">
        <v>19.50992466132772</v>
      </c>
      <c r="AZ61" s="20">
        <f t="shared" ref="AZ61:BA61" si="196">1/AX61</f>
        <v>0.1390827517</v>
      </c>
      <c r="BA61" s="321">
        <f t="shared" si="196"/>
        <v>0.0512559642</v>
      </c>
      <c r="BB61" s="320">
        <v>71.8853046594982</v>
      </c>
      <c r="BC61" s="20">
        <v>10.991758928743177</v>
      </c>
      <c r="BD61" s="20">
        <f t="shared" ref="BD61:BE61" si="197">1/BB61</f>
        <v>0.01391104906</v>
      </c>
      <c r="BE61" s="321">
        <f t="shared" si="197"/>
        <v>0.09097725</v>
      </c>
      <c r="BF61" s="320">
        <v>53.24731182795699</v>
      </c>
      <c r="BG61" s="20">
        <v>13.516967690823842</v>
      </c>
      <c r="BH61" s="20">
        <f t="shared" ref="BH61:BI61" si="198">1/BF61</f>
        <v>0.01878029079</v>
      </c>
      <c r="BI61" s="321">
        <f t="shared" si="198"/>
        <v>0.07398108976</v>
      </c>
    </row>
    <row r="62" ht="15.75" hidden="1" customHeight="1">
      <c r="A62" s="319">
        <v>250.0</v>
      </c>
      <c r="B62" s="213">
        <v>48.767025089605724</v>
      </c>
      <c r="C62" s="214">
        <v>19.867549668874176</v>
      </c>
      <c r="D62" s="111">
        <f t="shared" ref="D62:E62" si="199">1/B62</f>
        <v>0.02050565927</v>
      </c>
      <c r="E62" s="127">
        <f t="shared" si="199"/>
        <v>0.05033333333</v>
      </c>
      <c r="F62" s="213">
        <v>138.55197132616485</v>
      </c>
      <c r="G62" s="214">
        <v>7.8591861771302955</v>
      </c>
      <c r="H62" s="111">
        <f t="shared" ref="H62:I62" si="200">1/F62</f>
        <v>0.007217508278</v>
      </c>
      <c r="I62" s="127">
        <f t="shared" si="200"/>
        <v>0.1272396375</v>
      </c>
      <c r="J62" s="213">
        <v>121.16845878136199</v>
      </c>
      <c r="K62" s="214">
        <v>10.124392993091213</v>
      </c>
      <c r="L62" s="111">
        <f t="shared" ref="L62:M62" si="201">1/J62</f>
        <v>0.008252972845</v>
      </c>
      <c r="M62" s="127">
        <f t="shared" si="201"/>
        <v>0.09877135357</v>
      </c>
      <c r="Y62" s="319">
        <v>250.0</v>
      </c>
      <c r="Z62" s="322">
        <v>25.111111111111114</v>
      </c>
      <c r="AA62" s="323">
        <v>24.516421256319177</v>
      </c>
      <c r="AB62" s="323">
        <f t="shared" ref="AB62:AC62" si="202">1/Z62</f>
        <v>0.03982300885</v>
      </c>
      <c r="AC62" s="324">
        <f t="shared" si="202"/>
        <v>0.04078898749</v>
      </c>
      <c r="AD62" s="322">
        <v>103.06810035842292</v>
      </c>
      <c r="AE62" s="323">
        <v>14.34657601273193</v>
      </c>
      <c r="AF62" s="323">
        <f t="shared" ref="AF62:AG62" si="203">1/AD62</f>
        <v>0.009702322993</v>
      </c>
      <c r="AG62" s="324">
        <f t="shared" si="203"/>
        <v>0.06970304267</v>
      </c>
      <c r="AH62" s="322">
        <v>134.43010752688173</v>
      </c>
      <c r="AI62" s="323">
        <v>10.193206958112519</v>
      </c>
      <c r="AJ62" s="323">
        <f t="shared" ref="AJ62:AK62" si="204">1/AH62</f>
        <v>0.00743880979</v>
      </c>
      <c r="AK62" s="324">
        <f t="shared" si="204"/>
        <v>0.0981045518</v>
      </c>
      <c r="AW62" s="319">
        <v>250.0</v>
      </c>
      <c r="AX62" s="322">
        <v>86.93906810035841</v>
      </c>
      <c r="AY62" s="323">
        <v>26.893177852477017</v>
      </c>
      <c r="AZ62" s="323">
        <f t="shared" ref="AZ62:BA62" si="205">1/AX62</f>
        <v>0.01150230871</v>
      </c>
      <c r="BA62" s="324">
        <f t="shared" si="205"/>
        <v>0.03718415152</v>
      </c>
      <c r="BB62" s="322">
        <v>217.40501792114696</v>
      </c>
      <c r="BC62" s="323">
        <v>9.507213684410061</v>
      </c>
      <c r="BD62" s="323">
        <f t="shared" ref="BD62:BE62" si="206">1/BB62</f>
        <v>0.004599709839</v>
      </c>
      <c r="BE62" s="324">
        <f t="shared" si="206"/>
        <v>0.1051832885</v>
      </c>
      <c r="BF62" s="322">
        <v>167.2258064516129</v>
      </c>
      <c r="BG62" s="323">
        <v>16.2467013926002</v>
      </c>
      <c r="BH62" s="323">
        <f t="shared" ref="BH62:BI62" si="207">1/BF62</f>
        <v>0.005979938272</v>
      </c>
      <c r="BI62" s="324">
        <f t="shared" si="207"/>
        <v>0.06155095584</v>
      </c>
    </row>
    <row r="63" ht="15.75" hidden="1" customHeight="1">
      <c r="A63" s="319">
        <v>350.0</v>
      </c>
      <c r="Y63" s="319">
        <v>350.0</v>
      </c>
      <c r="AW63" s="319">
        <v>350.0</v>
      </c>
    </row>
    <row r="64" ht="15.75" hidden="1" customHeight="1"/>
    <row r="65" ht="15.75" hidden="1" customHeight="1"/>
    <row r="66" ht="15.75" hidden="1" customHeight="1">
      <c r="B66" s="325" t="s">
        <v>196</v>
      </c>
      <c r="C66" s="166" t="s">
        <v>364</v>
      </c>
      <c r="D66" s="167" t="s">
        <v>365</v>
      </c>
      <c r="E66" s="168" t="s">
        <v>809</v>
      </c>
      <c r="F66" s="325" t="s">
        <v>196</v>
      </c>
      <c r="G66" s="166" t="s">
        <v>364</v>
      </c>
      <c r="H66" s="167" t="s">
        <v>365</v>
      </c>
      <c r="I66" s="168" t="s">
        <v>810</v>
      </c>
      <c r="J66" s="326" t="s">
        <v>196</v>
      </c>
      <c r="K66" s="166" t="s">
        <v>364</v>
      </c>
      <c r="L66" s="167" t="s">
        <v>365</v>
      </c>
      <c r="M66" s="168" t="s">
        <v>811</v>
      </c>
      <c r="Z66" s="325" t="s">
        <v>196</v>
      </c>
      <c r="AA66" s="327" t="s">
        <v>364</v>
      </c>
      <c r="AB66" s="167" t="s">
        <v>365</v>
      </c>
      <c r="AC66" s="194" t="s">
        <v>812</v>
      </c>
      <c r="AD66" s="325" t="s">
        <v>196</v>
      </c>
      <c r="AE66" s="327" t="s">
        <v>364</v>
      </c>
      <c r="AF66" s="167" t="s">
        <v>365</v>
      </c>
      <c r="AG66" s="194" t="s">
        <v>813</v>
      </c>
      <c r="AH66" s="326" t="s">
        <v>196</v>
      </c>
      <c r="AI66" s="327" t="s">
        <v>364</v>
      </c>
      <c r="AJ66" s="167" t="s">
        <v>365</v>
      </c>
      <c r="AK66" s="168" t="s">
        <v>814</v>
      </c>
      <c r="AX66" s="328" t="s">
        <v>196</v>
      </c>
      <c r="AY66" s="166" t="s">
        <v>364</v>
      </c>
      <c r="AZ66" s="167" t="s">
        <v>365</v>
      </c>
      <c r="BA66" s="168" t="s">
        <v>815</v>
      </c>
      <c r="BB66" s="326" t="s">
        <v>196</v>
      </c>
      <c r="BC66" s="166" t="s">
        <v>364</v>
      </c>
      <c r="BD66" s="167" t="s">
        <v>365</v>
      </c>
      <c r="BE66" s="168" t="s">
        <v>816</v>
      </c>
      <c r="BF66" s="326" t="s">
        <v>196</v>
      </c>
      <c r="BG66" s="166" t="s">
        <v>364</v>
      </c>
      <c r="BH66" s="167" t="s">
        <v>365</v>
      </c>
      <c r="BI66" s="168" t="s">
        <v>817</v>
      </c>
    </row>
    <row r="67" ht="15.75" hidden="1" customHeight="1">
      <c r="B67" s="329">
        <f>1/0.0478</f>
        <v>20.92050209</v>
      </c>
      <c r="C67" s="322">
        <v>0.0469</v>
      </c>
      <c r="D67" s="323">
        <f>0.6478/C67</f>
        <v>13.81236674</v>
      </c>
      <c r="E67" s="256">
        <v>0.008</v>
      </c>
      <c r="F67" s="329">
        <f>1/0.1077</f>
        <v>9.285051068</v>
      </c>
      <c r="G67" s="322">
        <v>0.0337</v>
      </c>
      <c r="H67" s="323">
        <f>0.0062/G67</f>
        <v>0.1839762611</v>
      </c>
      <c r="I67" s="256">
        <v>0.3591</v>
      </c>
      <c r="J67" s="286">
        <f>1/0.0932</f>
        <v>10.72961373</v>
      </c>
      <c r="K67" s="322">
        <v>13.832</v>
      </c>
      <c r="L67" s="323">
        <f>-19.174/K67</f>
        <v>-1.386205899</v>
      </c>
      <c r="M67" s="256">
        <v>0.1551</v>
      </c>
      <c r="Z67" s="329">
        <f>1/0.027</f>
        <v>37.03703704</v>
      </c>
      <c r="AA67" s="330">
        <v>0.0126</v>
      </c>
      <c r="AB67" s="323">
        <f>0.2199/AA67</f>
        <v>17.45238095</v>
      </c>
      <c r="AC67" s="331">
        <v>0.0544</v>
      </c>
      <c r="AD67" s="329">
        <f>1/0.1077</f>
        <v>9.285051068</v>
      </c>
      <c r="AE67" s="330">
        <v>1.7182</v>
      </c>
      <c r="AF67" s="323">
        <f>0.0854/AE67</f>
        <v>0.04970317774</v>
      </c>
      <c r="AG67" s="331">
        <v>0.0236</v>
      </c>
      <c r="AH67" s="329">
        <f>1/0.0932</f>
        <v>10.72961373</v>
      </c>
      <c r="AI67" s="332">
        <v>9.0E-5</v>
      </c>
      <c r="AJ67" s="323">
        <f>0.1006/AI67</f>
        <v>1117.777778</v>
      </c>
      <c r="AK67" s="332">
        <v>1.0E-6</v>
      </c>
      <c r="AX67" s="333">
        <f>1/0.0354</f>
        <v>28.24858757</v>
      </c>
      <c r="AY67" s="334">
        <v>0.0954</v>
      </c>
      <c r="AZ67" s="335">
        <f>0.3112/AY67</f>
        <v>3.262054507</v>
      </c>
      <c r="BA67" s="304">
        <v>0.3416</v>
      </c>
      <c r="BB67" s="336">
        <f>1/0.104</f>
        <v>9.615384615</v>
      </c>
      <c r="BC67" s="334">
        <v>0.744</v>
      </c>
      <c r="BD67" s="335">
        <f>-0.6824/BC67</f>
        <v>-0.9172043011</v>
      </c>
      <c r="BE67" s="337">
        <v>0.3098</v>
      </c>
      <c r="BF67" s="336">
        <f>1/0.0594</f>
        <v>16.83501684</v>
      </c>
      <c r="BG67" s="338">
        <v>0.1057</v>
      </c>
      <c r="BH67" s="335">
        <f>0.0643/BG67</f>
        <v>0.6083254494</v>
      </c>
      <c r="BI67" s="304">
        <v>0.4002</v>
      </c>
    </row>
    <row r="68" ht="15.75" hidden="1" customHeight="1">
      <c r="A68" s="147"/>
      <c r="B68" s="191" t="s">
        <v>818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2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91" t="s">
        <v>376</v>
      </c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2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91" t="s">
        <v>377</v>
      </c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2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</row>
    <row r="69" ht="15.75" hidden="1" customHeight="1">
      <c r="A69" s="147"/>
      <c r="B69" s="339" t="s">
        <v>229</v>
      </c>
      <c r="C69" s="40"/>
      <c r="D69" s="340"/>
      <c r="E69" s="147"/>
      <c r="F69" s="341" t="s">
        <v>230</v>
      </c>
      <c r="G69" s="342"/>
      <c r="H69" s="343"/>
      <c r="I69" s="147"/>
      <c r="J69" s="339" t="s">
        <v>231</v>
      </c>
      <c r="K69" s="40"/>
      <c r="L69" s="340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315" t="s">
        <v>229</v>
      </c>
      <c r="AA69" s="314"/>
      <c r="AB69" s="234"/>
      <c r="AC69" s="147"/>
      <c r="AD69" s="315" t="s">
        <v>230</v>
      </c>
      <c r="AE69" s="314"/>
      <c r="AF69" s="234"/>
      <c r="AG69" s="147"/>
      <c r="AH69" s="315" t="s">
        <v>231</v>
      </c>
      <c r="AI69" s="314"/>
      <c r="AJ69" s="234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339" t="s">
        <v>229</v>
      </c>
      <c r="AY69" s="40"/>
      <c r="AZ69" s="340"/>
      <c r="BA69" s="147"/>
      <c r="BB69" s="339" t="s">
        <v>230</v>
      </c>
      <c r="BC69" s="40"/>
      <c r="BD69" s="340"/>
      <c r="BE69" s="147"/>
      <c r="BF69" s="339" t="s">
        <v>231</v>
      </c>
      <c r="BG69" s="40"/>
      <c r="BH69" s="340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</row>
    <row r="70" ht="15.75" hidden="1" customHeight="1">
      <c r="A70" s="258" t="s">
        <v>168</v>
      </c>
      <c r="B70" s="344" t="s">
        <v>378</v>
      </c>
      <c r="C70" s="50" t="s">
        <v>379</v>
      </c>
      <c r="D70" s="345" t="s">
        <v>380</v>
      </c>
      <c r="F70" s="344" t="s">
        <v>378</v>
      </c>
      <c r="G70" s="50" t="s">
        <v>379</v>
      </c>
      <c r="H70" s="345" t="s">
        <v>380</v>
      </c>
      <c r="J70" s="344" t="s">
        <v>378</v>
      </c>
      <c r="K70" s="50" t="s">
        <v>379</v>
      </c>
      <c r="L70" s="345" t="s">
        <v>380</v>
      </c>
      <c r="Y70" s="258" t="s">
        <v>168</v>
      </c>
      <c r="Z70" s="344" t="s">
        <v>378</v>
      </c>
      <c r="AA70" s="50" t="s">
        <v>379</v>
      </c>
      <c r="AB70" s="345" t="s">
        <v>380</v>
      </c>
      <c r="AD70" s="344" t="s">
        <v>378</v>
      </c>
      <c r="AE70" s="50" t="s">
        <v>379</v>
      </c>
      <c r="AF70" s="345" t="s">
        <v>380</v>
      </c>
      <c r="AH70" s="344" t="s">
        <v>378</v>
      </c>
      <c r="AI70" s="50" t="s">
        <v>379</v>
      </c>
      <c r="AJ70" s="345" t="s">
        <v>380</v>
      </c>
      <c r="AW70" s="258" t="s">
        <v>168</v>
      </c>
      <c r="AX70" s="317" t="s">
        <v>378</v>
      </c>
      <c r="AY70" s="50" t="s">
        <v>379</v>
      </c>
      <c r="AZ70" s="318" t="s">
        <v>380</v>
      </c>
      <c r="BB70" s="317" t="s">
        <v>378</v>
      </c>
      <c r="BC70" s="50" t="s">
        <v>379</v>
      </c>
      <c r="BD70" s="318" t="s">
        <v>380</v>
      </c>
      <c r="BF70" s="317" t="s">
        <v>378</v>
      </c>
      <c r="BG70" s="50" t="s">
        <v>379</v>
      </c>
      <c r="BH70" s="318" t="s">
        <v>380</v>
      </c>
    </row>
    <row r="71" ht="15.75" hidden="1" customHeight="1">
      <c r="A71" s="319">
        <v>50.0</v>
      </c>
      <c r="B71" s="346">
        <f t="shared" ref="B71:B75" si="208">C58/$B$67</f>
        <v>0.4038206581</v>
      </c>
      <c r="C71" s="15">
        <f t="shared" ref="C71:C75" si="209">1/B71</f>
        <v>2.476346814</v>
      </c>
      <c r="D71" s="347">
        <f t="shared" ref="D71:D75" si="210">1/(B58*(1-B71))</f>
        <v>0.6628611698</v>
      </c>
      <c r="F71" s="346">
        <f t="shared" ref="F71:F75" si="211">G58/$F$67</f>
        <v>0.5439808539</v>
      </c>
      <c r="G71" s="15">
        <f t="shared" ref="G71:G75" si="212">1/F71</f>
        <v>1.838299993</v>
      </c>
      <c r="H71" s="347">
        <f t="shared" ref="H71:H75" si="213">1/(F58*(1-F71))</f>
        <v>0.07939481142</v>
      </c>
      <c r="J71" s="346">
        <f t="shared" ref="J71:J75" si="214">K58/$J$67</f>
        <v>0.6519245933</v>
      </c>
      <c r="K71" s="15">
        <f t="shared" ref="K71:K75" si="215">1/J71</f>
        <v>1.533919736</v>
      </c>
      <c r="L71" s="347">
        <f t="shared" ref="L71:L75" si="216">1/(J58*(1-J71))</f>
        <v>0.2222824329</v>
      </c>
      <c r="Y71" s="319">
        <v>50.0</v>
      </c>
      <c r="Z71" s="320">
        <f t="shared" ref="Z71:Z75" si="217">AA58/$Z$67</f>
        <v>0.1782343857</v>
      </c>
      <c r="AA71" s="20">
        <f t="shared" ref="AA71:AA75" si="218">1/Z71</f>
        <v>5.610589651</v>
      </c>
      <c r="AB71" s="321">
        <f t="shared" ref="AB71:AB75" si="219">1/(Z58*(1-Z71))</f>
        <v>0.2599639107</v>
      </c>
      <c r="AD71" s="320">
        <f t="shared" ref="AD71:AD75" si="220">AE58/$AD$67</f>
        <v>0.6674511548</v>
      </c>
      <c r="AE71" s="20">
        <f t="shared" ref="AE71:AE75" si="221">1/AD71</f>
        <v>1.498236976</v>
      </c>
      <c r="AF71" s="321">
        <f t="shared" ref="AF71:AF75" si="222">1/(AD58*(1-AD71))</f>
        <v>0.3983734552</v>
      </c>
      <c r="AH71" s="320">
        <f t="shared" ref="AH71:AH75" si="223">AI58/$AH$67</f>
        <v>0.4730700774</v>
      </c>
      <c r="AI71" s="20">
        <f t="shared" ref="AI71:AI75" si="224">1/AH71</f>
        <v>2.113851727</v>
      </c>
      <c r="AJ71" s="321">
        <f t="shared" ref="AJ71:AJ75" si="225">1/(AH58*(1-AH71))</f>
        <v>0.1188245449</v>
      </c>
      <c r="AW71" s="319">
        <v>50.0</v>
      </c>
      <c r="AX71" s="320">
        <f t="shared" ref="AX71:AX75" si="226">AY58/$AX$67</f>
        <v>0.2559463721</v>
      </c>
      <c r="AY71" s="20">
        <f t="shared" ref="AY71:AY75" si="227">1/AX71</f>
        <v>3.907068468</v>
      </c>
      <c r="AZ71" s="321">
        <f t="shared" ref="AZ71:AZ75" si="228">1/(AX58*(1-AX71))</f>
        <v>0.5716051399</v>
      </c>
      <c r="BB71" s="320">
        <f t="shared" ref="BB71:BB75" si="229">BC58/$BB$67</f>
        <v>0.657957013</v>
      </c>
      <c r="BC71" s="20">
        <f t="shared" ref="BC71:BC75" si="230">1/BB71</f>
        <v>1.519856131</v>
      </c>
      <c r="BD71" s="321">
        <f t="shared" ref="BD71:BD75" si="231">1/(BB58*(1-BB71))</f>
        <v>0.3071110496</v>
      </c>
      <c r="BF71" s="320">
        <f t="shared" ref="BF71:BF75" si="232">BG58/$BF$67</f>
        <v>0.4060672578</v>
      </c>
      <c r="BG71" s="20">
        <f t="shared" ref="BG71:BG75" si="233">1/BF71</f>
        <v>2.462646226</v>
      </c>
      <c r="BH71" s="321">
        <f t="shared" ref="BH71:BH75" si="234">1/(BF58*(1-BF71))</f>
        <v>0.301895989</v>
      </c>
    </row>
    <row r="72" ht="15.75" hidden="1" customHeight="1">
      <c r="A72" s="319">
        <v>75.0</v>
      </c>
      <c r="B72" s="346">
        <f t="shared" si="208"/>
        <v>0.6234223153</v>
      </c>
      <c r="C72" s="15">
        <f t="shared" si="209"/>
        <v>1.604049094</v>
      </c>
      <c r="D72" s="347">
        <f t="shared" si="210"/>
        <v>1.129394798</v>
      </c>
      <c r="F72" s="346">
        <f t="shared" si="211"/>
        <v>0.6044712965</v>
      </c>
      <c r="G72" s="15">
        <f t="shared" si="212"/>
        <v>1.654338272</v>
      </c>
      <c r="H72" s="347">
        <f t="shared" si="213"/>
        <v>0.04420813257</v>
      </c>
      <c r="J72" s="346">
        <f t="shared" si="214"/>
        <v>0.8232541181</v>
      </c>
      <c r="K72" s="15">
        <f t="shared" si="215"/>
        <v>1.214691768</v>
      </c>
      <c r="L72" s="347">
        <f t="shared" si="216"/>
        <v>0.1733513602</v>
      </c>
      <c r="Y72" s="319">
        <v>75.0</v>
      </c>
      <c r="Z72" s="320">
        <f t="shared" si="217"/>
        <v>0.2908671876</v>
      </c>
      <c r="AA72" s="20">
        <f t="shared" si="218"/>
        <v>3.437995218</v>
      </c>
      <c r="AB72" s="321">
        <f t="shared" si="219"/>
        <v>0.2901462304</v>
      </c>
      <c r="AD72" s="320">
        <f t="shared" si="220"/>
        <v>0.9928836074</v>
      </c>
      <c r="AE72" s="20">
        <f t="shared" si="221"/>
        <v>1.007167399</v>
      </c>
      <c r="AF72" s="321">
        <f t="shared" si="222"/>
        <v>8.420373067</v>
      </c>
      <c r="AH72" s="320">
        <f t="shared" si="223"/>
        <v>0.6567767418</v>
      </c>
      <c r="AI72" s="20">
        <f t="shared" si="224"/>
        <v>1.522587413</v>
      </c>
      <c r="AJ72" s="321">
        <f t="shared" si="225"/>
        <v>0.08878134283</v>
      </c>
      <c r="AW72" s="319">
        <v>75.0</v>
      </c>
      <c r="AX72" s="320">
        <f t="shared" si="226"/>
        <v>0.3900821963</v>
      </c>
      <c r="AY72" s="20">
        <f t="shared" si="227"/>
        <v>2.563562268</v>
      </c>
      <c r="AZ72" s="321">
        <f t="shared" si="228"/>
        <v>0.6479301532</v>
      </c>
      <c r="BB72" s="320">
        <f t="shared" si="229"/>
        <v>0.8821642938</v>
      </c>
      <c r="BC72" s="20">
        <f t="shared" si="230"/>
        <v>1.133575692</v>
      </c>
      <c r="BD72" s="321">
        <f t="shared" si="231"/>
        <v>0.3975324684</v>
      </c>
      <c r="BF72" s="320">
        <f t="shared" si="232"/>
        <v>0.6682204439</v>
      </c>
      <c r="BG72" s="20">
        <f t="shared" si="233"/>
        <v>1.49651213</v>
      </c>
      <c r="BH72" s="321">
        <f t="shared" si="234"/>
        <v>0.3166113728</v>
      </c>
    </row>
    <row r="73" ht="15.75" hidden="1" customHeight="1">
      <c r="A73" s="319">
        <v>100.0</v>
      </c>
      <c r="B73" s="346">
        <f t="shared" si="208"/>
        <v>0.6963417591</v>
      </c>
      <c r="C73" s="15">
        <f t="shared" si="209"/>
        <v>1.436076448</v>
      </c>
      <c r="D73" s="347">
        <f t="shared" si="210"/>
        <v>0.482054604</v>
      </c>
      <c r="F73" s="346">
        <f t="shared" si="211"/>
        <v>0.7539</v>
      </c>
      <c r="G73" s="15">
        <f t="shared" si="212"/>
        <v>1.326435867</v>
      </c>
      <c r="H73" s="347">
        <f t="shared" si="213"/>
        <v>0.06251367487</v>
      </c>
      <c r="J73" s="346">
        <f t="shared" si="214"/>
        <v>0.9783754352</v>
      </c>
      <c r="K73" s="15">
        <f t="shared" si="215"/>
        <v>1.022102522</v>
      </c>
      <c r="L73" s="347">
        <f t="shared" si="216"/>
        <v>1.210772685</v>
      </c>
      <c r="Y73" s="319">
        <v>100.0</v>
      </c>
      <c r="Z73" s="320">
        <f t="shared" si="217"/>
        <v>0.375351257</v>
      </c>
      <c r="AA73" s="20">
        <f t="shared" si="218"/>
        <v>2.664171176</v>
      </c>
      <c r="AB73" s="321">
        <f t="shared" si="219"/>
        <v>0.2697168013</v>
      </c>
      <c r="AD73" s="320">
        <f t="shared" si="220"/>
        <v>1.20689174</v>
      </c>
      <c r="AE73" s="20">
        <f t="shared" si="221"/>
        <v>0.8285747318</v>
      </c>
      <c r="AF73" s="321">
        <f t="shared" si="222"/>
        <v>-0.1858505183</v>
      </c>
      <c r="AH73" s="320">
        <f t="shared" si="223"/>
        <v>0.7263865082</v>
      </c>
      <c r="AI73" s="20">
        <f t="shared" si="224"/>
        <v>1.376677552</v>
      </c>
      <c r="AJ73" s="321">
        <f t="shared" si="225"/>
        <v>0.06981285493</v>
      </c>
      <c r="AW73" s="319">
        <v>100.0</v>
      </c>
      <c r="AX73" s="320">
        <f t="shared" si="226"/>
        <v>0.5006912396</v>
      </c>
      <c r="AY73" s="20">
        <f t="shared" si="227"/>
        <v>1.997238859</v>
      </c>
      <c r="AZ73" s="321">
        <f t="shared" si="228"/>
        <v>0.6932661183</v>
      </c>
      <c r="BB73" s="320">
        <f t="shared" si="229"/>
        <v>1.087833431</v>
      </c>
      <c r="BC73" s="20">
        <f t="shared" si="230"/>
        <v>0.9192583825</v>
      </c>
      <c r="BD73" s="321">
        <f t="shared" si="231"/>
        <v>-0.3669670825</v>
      </c>
      <c r="BF73" s="320">
        <f t="shared" si="232"/>
        <v>0.7384549144</v>
      </c>
      <c r="BG73" s="20">
        <f t="shared" si="233"/>
        <v>1.354178814</v>
      </c>
      <c r="BH73" s="321">
        <f t="shared" si="234"/>
        <v>0.2393935567</v>
      </c>
    </row>
    <row r="74" ht="15.75" hidden="1" customHeight="1">
      <c r="A74" s="319">
        <v>150.0</v>
      </c>
      <c r="B74" s="346">
        <f t="shared" si="208"/>
        <v>0.911982847</v>
      </c>
      <c r="C74" s="15">
        <f t="shared" si="209"/>
        <v>1.096511851</v>
      </c>
      <c r="D74" s="347">
        <f t="shared" si="210"/>
        <v>0.9171981128</v>
      </c>
      <c r="F74" s="346">
        <f t="shared" si="211"/>
        <v>0.7720781274</v>
      </c>
      <c r="G74" s="15">
        <f t="shared" si="212"/>
        <v>1.295205711</v>
      </c>
      <c r="H74" s="347">
        <f t="shared" si="213"/>
        <v>0.04363072664</v>
      </c>
      <c r="J74" s="346">
        <f t="shared" si="214"/>
        <v>1.00080107</v>
      </c>
      <c r="K74" s="15">
        <f t="shared" si="215"/>
        <v>0.9991995712</v>
      </c>
      <c r="L74" s="347">
        <f t="shared" si="216"/>
        <v>-16.98450064</v>
      </c>
      <c r="Y74" s="319">
        <v>150.0</v>
      </c>
      <c r="Z74" s="320">
        <f t="shared" si="217"/>
        <v>0.4941407423</v>
      </c>
      <c r="AA74" s="20">
        <f t="shared" si="218"/>
        <v>2.023714934</v>
      </c>
      <c r="AB74" s="321">
        <f t="shared" si="219"/>
        <v>0.3544581025</v>
      </c>
      <c r="AD74" s="320">
        <f t="shared" si="220"/>
        <v>1.335568572</v>
      </c>
      <c r="AE74" s="20">
        <f t="shared" si="221"/>
        <v>0.7487447824</v>
      </c>
      <c r="AF74" s="321">
        <f t="shared" si="222"/>
        <v>-0.06110721017</v>
      </c>
      <c r="AH74" s="320">
        <f t="shared" si="223"/>
        <v>0.8296239629</v>
      </c>
      <c r="AI74" s="20">
        <f t="shared" si="224"/>
        <v>1.205365376</v>
      </c>
      <c r="AJ74" s="321">
        <f t="shared" si="225"/>
        <v>0.0772212689</v>
      </c>
      <c r="AW74" s="319">
        <v>150.0</v>
      </c>
      <c r="AX74" s="320">
        <f t="shared" si="226"/>
        <v>0.690651333</v>
      </c>
      <c r="AY74" s="20">
        <f t="shared" si="227"/>
        <v>1.447908593</v>
      </c>
      <c r="AZ74" s="321">
        <f t="shared" si="228"/>
        <v>0.4495986781</v>
      </c>
      <c r="BB74" s="320">
        <f t="shared" si="229"/>
        <v>1.143142929</v>
      </c>
      <c r="BC74" s="20">
        <f t="shared" si="230"/>
        <v>0.87478125</v>
      </c>
      <c r="BD74" s="321">
        <f t="shared" si="231"/>
        <v>-0.09718292898</v>
      </c>
      <c r="BF74" s="320">
        <f t="shared" si="232"/>
        <v>0.8029078808</v>
      </c>
      <c r="BG74" s="20">
        <f t="shared" si="233"/>
        <v>1.245472892</v>
      </c>
      <c r="BH74" s="321">
        <f t="shared" si="234"/>
        <v>0.09528686825</v>
      </c>
    </row>
    <row r="75" ht="15.75" hidden="1" customHeight="1">
      <c r="A75" s="319">
        <v>250.0</v>
      </c>
      <c r="B75" s="338">
        <f t="shared" si="208"/>
        <v>0.9496688742</v>
      </c>
      <c r="C75" s="303">
        <f t="shared" si="209"/>
        <v>1.052998605</v>
      </c>
      <c r="D75" s="348">
        <f t="shared" si="210"/>
        <v>0.4074150723</v>
      </c>
      <c r="F75" s="338">
        <f t="shared" si="211"/>
        <v>0.8464343513</v>
      </c>
      <c r="G75" s="303">
        <f t="shared" si="212"/>
        <v>1.181426532</v>
      </c>
      <c r="H75" s="348">
        <f t="shared" si="213"/>
        <v>0.04699949721</v>
      </c>
      <c r="J75" s="338">
        <f t="shared" si="214"/>
        <v>0.943593427</v>
      </c>
      <c r="K75" s="303">
        <f t="shared" si="215"/>
        <v>1.059778472</v>
      </c>
      <c r="L75" s="348">
        <f t="shared" si="216"/>
        <v>0.146312254</v>
      </c>
      <c r="Y75" s="319">
        <v>250.0</v>
      </c>
      <c r="Z75" s="322">
        <f t="shared" si="217"/>
        <v>0.6619433739</v>
      </c>
      <c r="AA75" s="323">
        <f t="shared" si="218"/>
        <v>1.51070324</v>
      </c>
      <c r="AB75" s="324">
        <f t="shared" si="219"/>
        <v>0.1177998175</v>
      </c>
      <c r="AD75" s="322">
        <f t="shared" si="220"/>
        <v>1.545126237</v>
      </c>
      <c r="AE75" s="323">
        <f t="shared" si="221"/>
        <v>0.6471963108</v>
      </c>
      <c r="AF75" s="324">
        <f t="shared" si="222"/>
        <v>-0.01779830495</v>
      </c>
      <c r="AH75" s="322">
        <f t="shared" si="223"/>
        <v>0.9500068885</v>
      </c>
      <c r="AI75" s="323">
        <f t="shared" si="224"/>
        <v>1.052623946</v>
      </c>
      <c r="AJ75" s="324">
        <f t="shared" si="225"/>
        <v>0.1487966955</v>
      </c>
      <c r="AW75" s="319">
        <v>250.0</v>
      </c>
      <c r="AX75" s="322">
        <f t="shared" si="226"/>
        <v>0.952018496</v>
      </c>
      <c r="AY75" s="323">
        <f t="shared" si="227"/>
        <v>1.05039976</v>
      </c>
      <c r="AZ75" s="324">
        <f t="shared" si="228"/>
        <v>0.2397238049</v>
      </c>
      <c r="BB75" s="322">
        <f t="shared" si="229"/>
        <v>0.9887502232</v>
      </c>
      <c r="BC75" s="323">
        <f t="shared" si="230"/>
        <v>1.011377774</v>
      </c>
      <c r="BD75" s="324">
        <f t="shared" si="231"/>
        <v>0.408871208</v>
      </c>
      <c r="BF75" s="322">
        <f t="shared" si="232"/>
        <v>0.9650540627</v>
      </c>
      <c r="BG75" s="323">
        <f t="shared" si="233"/>
        <v>1.036211378</v>
      </c>
      <c r="BH75" s="324">
        <f t="shared" si="234"/>
        <v>0.1711196991</v>
      </c>
    </row>
    <row r="76" ht="15.75" hidden="1" customHeight="1">
      <c r="A76" s="319">
        <v>350.0</v>
      </c>
      <c r="Y76" s="319">
        <v>350.0</v>
      </c>
      <c r="AW76" s="319">
        <v>350.0</v>
      </c>
    </row>
    <row r="77" ht="15.75" hidden="1" customHeight="1"/>
    <row r="78" ht="15.75" hidden="1" customHeight="1"/>
    <row r="79" ht="15.75" hidden="1" customHeight="1">
      <c r="B79" s="166" t="s">
        <v>819</v>
      </c>
      <c r="C79" s="167" t="s">
        <v>820</v>
      </c>
      <c r="D79" s="168" t="s">
        <v>821</v>
      </c>
      <c r="E79" s="5"/>
      <c r="F79" s="166" t="s">
        <v>822</v>
      </c>
      <c r="G79" s="167" t="s">
        <v>823</v>
      </c>
      <c r="H79" s="168" t="s">
        <v>824</v>
      </c>
      <c r="I79" s="5"/>
      <c r="J79" s="166" t="s">
        <v>825</v>
      </c>
      <c r="K79" s="167" t="s">
        <v>826</v>
      </c>
      <c r="L79" s="168" t="s">
        <v>827</v>
      </c>
      <c r="Z79" s="166" t="s">
        <v>828</v>
      </c>
      <c r="AA79" s="167" t="s">
        <v>829</v>
      </c>
      <c r="AB79" s="168" t="s">
        <v>830</v>
      </c>
      <c r="AD79" s="166" t="s">
        <v>831</v>
      </c>
      <c r="AE79" s="167" t="s">
        <v>832</v>
      </c>
      <c r="AF79" s="168" t="s">
        <v>833</v>
      </c>
      <c r="AH79" s="166" t="s">
        <v>834</v>
      </c>
      <c r="AI79" s="167" t="s">
        <v>835</v>
      </c>
      <c r="AJ79" s="168" t="s">
        <v>836</v>
      </c>
      <c r="AX79" s="166" t="s">
        <v>837</v>
      </c>
      <c r="AY79" s="167" t="s">
        <v>838</v>
      </c>
      <c r="AZ79" s="168" t="s">
        <v>839</v>
      </c>
      <c r="BB79" s="166" t="s">
        <v>840</v>
      </c>
      <c r="BC79" s="167" t="s">
        <v>841</v>
      </c>
      <c r="BD79" s="168" t="s">
        <v>842</v>
      </c>
      <c r="BF79" s="166" t="s">
        <v>843</v>
      </c>
      <c r="BG79" s="167" t="s">
        <v>844</v>
      </c>
      <c r="BH79" s="168" t="s">
        <v>845</v>
      </c>
    </row>
    <row r="80" ht="15.75" hidden="1" customHeight="1">
      <c r="B80" s="349">
        <f>-(1/(-2.0125))</f>
        <v>0.4968944099</v>
      </c>
      <c r="C80" s="111">
        <f>EXP(6.0028/B80)</f>
        <v>176422.1533</v>
      </c>
      <c r="D80" s="127">
        <v>0.4962</v>
      </c>
      <c r="E80" s="226"/>
      <c r="F80" s="349">
        <f>-(1/(-3.0169))</f>
        <v>0.3314660744</v>
      </c>
      <c r="G80" s="111">
        <f>EXP(5.2122/F80)</f>
        <v>6747523.995</v>
      </c>
      <c r="H80" s="127">
        <v>0.5728</v>
      </c>
      <c r="I80" s="226"/>
      <c r="J80" s="349">
        <f>-(1/(-2.107))</f>
        <v>0.474608448</v>
      </c>
      <c r="K80" s="111">
        <f>EXP(1.5764/J80)</f>
        <v>27.70117414</v>
      </c>
      <c r="L80" s="304">
        <v>0.7606</v>
      </c>
      <c r="Z80" s="349">
        <f>-(1/(-0.0459))</f>
        <v>21.78649237</v>
      </c>
      <c r="AA80" s="111">
        <f>EXP(0.7504/Z80)</f>
        <v>1.035043402</v>
      </c>
      <c r="AB80" s="304">
        <v>0.0024</v>
      </c>
      <c r="AC80" s="5"/>
      <c r="AD80" s="349">
        <f>-(1/(-1.9685))</f>
        <v>0.508001016</v>
      </c>
      <c r="AE80" s="111">
        <f>EXP(3.5891/AD80)</f>
        <v>1170.449743</v>
      </c>
      <c r="AF80" s="304">
        <v>0.853</v>
      </c>
      <c r="AG80" s="5"/>
      <c r="AH80" s="349">
        <f>-(1/(-2.0313))</f>
        <v>0.4922955743</v>
      </c>
      <c r="AI80" s="111">
        <f>EXP(2.2562/AH80)</f>
        <v>97.80924087</v>
      </c>
      <c r="AJ80" s="304">
        <v>0.9538</v>
      </c>
      <c r="AX80" s="349">
        <f>-(1/(-1.5447))</f>
        <v>0.6473748948</v>
      </c>
      <c r="AY80" s="111">
        <f>EXP(4.9074/AX80)</f>
        <v>1959.53167</v>
      </c>
      <c r="AZ80" s="304">
        <v>0.4803</v>
      </c>
      <c r="BA80" s="5"/>
      <c r="BB80" s="349">
        <f>-(1/(-2.6984))</f>
        <v>0.3705899792</v>
      </c>
      <c r="BC80" s="111">
        <f>EXP(4.4401/BB80)</f>
        <v>159718.1279</v>
      </c>
      <c r="BD80" s="304">
        <v>0.3133</v>
      </c>
      <c r="BE80" s="5"/>
      <c r="BF80" s="349">
        <f>-(1/(-2.6656))</f>
        <v>0.37515006</v>
      </c>
      <c r="BG80" s="111">
        <f>EXP(5.1867/BF80)</f>
        <v>1010208.719</v>
      </c>
      <c r="BH80" s="304">
        <v>0.6147</v>
      </c>
    </row>
    <row r="81" ht="15.75" hidden="1" customHeight="1">
      <c r="A81" s="147"/>
      <c r="B81" s="350" t="s">
        <v>846</v>
      </c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2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91" t="s">
        <v>847</v>
      </c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2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91" t="s">
        <v>848</v>
      </c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2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</row>
    <row r="82" ht="15.75" hidden="1" customHeight="1">
      <c r="A82" s="147"/>
      <c r="B82" s="315" t="s">
        <v>229</v>
      </c>
      <c r="C82" s="314"/>
      <c r="D82" s="314"/>
      <c r="E82" s="234"/>
      <c r="F82" s="315" t="s">
        <v>230</v>
      </c>
      <c r="G82" s="314"/>
      <c r="H82" s="314"/>
      <c r="I82" s="234"/>
      <c r="J82" s="315" t="s">
        <v>231</v>
      </c>
      <c r="K82" s="314"/>
      <c r="L82" s="314"/>
      <c r="M82" s="234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315" t="s">
        <v>229</v>
      </c>
      <c r="AA82" s="314"/>
      <c r="AB82" s="314"/>
      <c r="AC82" s="234"/>
      <c r="AD82" s="315" t="s">
        <v>230</v>
      </c>
      <c r="AE82" s="314"/>
      <c r="AF82" s="314"/>
      <c r="AG82" s="234"/>
      <c r="AH82" s="315" t="s">
        <v>231</v>
      </c>
      <c r="AI82" s="314"/>
      <c r="AJ82" s="314"/>
      <c r="AK82" s="234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315" t="s">
        <v>229</v>
      </c>
      <c r="AY82" s="314"/>
      <c r="AZ82" s="314"/>
      <c r="BA82" s="234"/>
      <c r="BB82" s="315" t="s">
        <v>230</v>
      </c>
      <c r="BC82" s="314"/>
      <c r="BD82" s="314"/>
      <c r="BE82" s="234"/>
      <c r="BF82" s="315" t="s">
        <v>231</v>
      </c>
      <c r="BG82" s="314"/>
      <c r="BH82" s="314"/>
      <c r="BI82" s="234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</row>
    <row r="83" ht="15.75" hidden="1" customHeight="1">
      <c r="A83" s="258" t="s">
        <v>168</v>
      </c>
      <c r="B83" s="317" t="s">
        <v>232</v>
      </c>
      <c r="C83" s="50" t="s">
        <v>233</v>
      </c>
      <c r="D83" s="50" t="s">
        <v>411</v>
      </c>
      <c r="E83" s="318" t="s">
        <v>412</v>
      </c>
      <c r="F83" s="317" t="s">
        <v>232</v>
      </c>
      <c r="G83" s="50" t="s">
        <v>233</v>
      </c>
      <c r="H83" s="50" t="s">
        <v>411</v>
      </c>
      <c r="I83" s="318" t="s">
        <v>412</v>
      </c>
      <c r="J83" s="317" t="s">
        <v>232</v>
      </c>
      <c r="K83" s="50" t="s">
        <v>233</v>
      </c>
      <c r="L83" s="50" t="s">
        <v>411</v>
      </c>
      <c r="M83" s="318" t="s">
        <v>412</v>
      </c>
      <c r="Y83" s="258" t="s">
        <v>168</v>
      </c>
      <c r="Z83" s="317" t="s">
        <v>232</v>
      </c>
      <c r="AA83" s="50" t="s">
        <v>233</v>
      </c>
      <c r="AB83" s="50" t="s">
        <v>411</v>
      </c>
      <c r="AC83" s="318" t="s">
        <v>412</v>
      </c>
      <c r="AD83" s="317" t="s">
        <v>232</v>
      </c>
      <c r="AE83" s="50" t="s">
        <v>233</v>
      </c>
      <c r="AF83" s="50" t="s">
        <v>411</v>
      </c>
      <c r="AG83" s="318" t="s">
        <v>412</v>
      </c>
      <c r="AH83" s="317" t="s">
        <v>232</v>
      </c>
      <c r="AI83" s="50" t="s">
        <v>233</v>
      </c>
      <c r="AJ83" s="50" t="s">
        <v>411</v>
      </c>
      <c r="AK83" s="318" t="s">
        <v>412</v>
      </c>
      <c r="AW83" s="258" t="s">
        <v>168</v>
      </c>
      <c r="AX83" s="317" t="s">
        <v>232</v>
      </c>
      <c r="AY83" s="50" t="s">
        <v>233</v>
      </c>
      <c r="AZ83" s="50" t="s">
        <v>411</v>
      </c>
      <c r="BA83" s="318" t="s">
        <v>412</v>
      </c>
      <c r="BB83" s="317" t="s">
        <v>232</v>
      </c>
      <c r="BC83" s="50" t="s">
        <v>233</v>
      </c>
      <c r="BD83" s="50" t="s">
        <v>411</v>
      </c>
      <c r="BE83" s="318" t="s">
        <v>412</v>
      </c>
      <c r="BF83" s="317" t="s">
        <v>232</v>
      </c>
      <c r="BG83" s="50" t="s">
        <v>233</v>
      </c>
      <c r="BH83" s="50" t="s">
        <v>411</v>
      </c>
      <c r="BI83" s="318" t="s">
        <v>412</v>
      </c>
    </row>
    <row r="84" ht="15.75" hidden="1" customHeight="1">
      <c r="A84" s="319">
        <v>50.0</v>
      </c>
      <c r="B84" s="320">
        <v>2.5304659498207887</v>
      </c>
      <c r="C84" s="20">
        <v>8.448130922589387</v>
      </c>
      <c r="D84" s="20">
        <f t="shared" ref="D84:D88" si="235">LN(C84)</f>
        <v>2.133945224</v>
      </c>
      <c r="E84" s="321">
        <f t="shared" ref="E84:E88" si="236">LN(C84/B84)</f>
        <v>1.205541769</v>
      </c>
      <c r="F84" s="320">
        <v>27.6200716845878</v>
      </c>
      <c r="G84" s="20">
        <v>5.050890008015365</v>
      </c>
      <c r="H84" s="20">
        <f t="shared" ref="H84:H88" si="237">LN(G84)</f>
        <v>1.619564467</v>
      </c>
      <c r="I84" s="321">
        <f t="shared" ref="I84:I88" si="238">LN(G84/F84)</f>
        <v>-1.698978276</v>
      </c>
      <c r="J84" s="320">
        <v>12.924731182795696</v>
      </c>
      <c r="K84" s="20">
        <v>6.994899069379541</v>
      </c>
      <c r="L84" s="20">
        <f t="shared" ref="L84:L88" si="239">LN(K84)</f>
        <v>1.945181179</v>
      </c>
      <c r="M84" s="321">
        <f t="shared" ref="M84:M88" si="240">LN(K84/J84)</f>
        <v>-0.6139614429</v>
      </c>
      <c r="Y84" s="319">
        <v>50.0</v>
      </c>
      <c r="Z84" s="320">
        <v>4.681003584229391</v>
      </c>
      <c r="AA84" s="20">
        <v>6.601273545336687</v>
      </c>
      <c r="AB84" s="20">
        <f t="shared" ref="AB84:AB88" si="241">LN(AA84)</f>
        <v>1.887262592</v>
      </c>
      <c r="AC84" s="321">
        <f t="shared" ref="AC84:AC88" si="242">LN(AA84/Z84)</f>
        <v>0.3437500638</v>
      </c>
      <c r="AD84" s="320">
        <v>7.548387096774192</v>
      </c>
      <c r="AE84" s="20">
        <v>6.197318057836213</v>
      </c>
      <c r="AF84" s="20">
        <f t="shared" ref="AF84:AF88" si="243">LN(AE84)</f>
        <v>1.824116627</v>
      </c>
      <c r="AG84" s="321">
        <f t="shared" ref="AG84:AG88" si="244">LN(AE84/AD84)</f>
        <v>-0.1972172837</v>
      </c>
      <c r="AH84" s="320">
        <v>15.97132616487455</v>
      </c>
      <c r="AI84" s="20">
        <v>5.075859199580501</v>
      </c>
      <c r="AJ84" s="20">
        <f t="shared" ref="AJ84:AJ88" si="245">LN(AI84)</f>
        <v>1.624495811</v>
      </c>
      <c r="AK84" s="321">
        <f t="shared" ref="AK84:AK88" si="246">LN(AI84/AH84)</f>
        <v>-1.146299189</v>
      </c>
      <c r="AW84" s="319">
        <v>50.0</v>
      </c>
      <c r="AX84" s="320">
        <v>2.351254480286738</v>
      </c>
      <c r="AY84" s="20">
        <v>7.230123505633468</v>
      </c>
      <c r="AZ84" s="20">
        <f t="shared" ref="AZ84:AZ88" si="247">LN(AY84)</f>
        <v>1.978256118</v>
      </c>
      <c r="BA84" s="321">
        <f t="shared" ref="BA84:BA88" si="248">LN(AY84/AX84)</f>
        <v>1.123307111</v>
      </c>
      <c r="BB84" s="320">
        <v>9.519713261648745</v>
      </c>
      <c r="BC84" s="20">
        <v>6.326509740684451</v>
      </c>
      <c r="BD84" s="20">
        <f t="shared" ref="BD84:BD88" si="249">LN(BC84)</f>
        <v>1.8447487</v>
      </c>
      <c r="BE84" s="321">
        <f t="shared" ref="BE84:BE88" si="250">LN(BC84/BB84)</f>
        <v>-0.4086160285</v>
      </c>
      <c r="BF84" s="320">
        <v>5.577060931899641</v>
      </c>
      <c r="BG84" s="20">
        <v>6.836149120802889</v>
      </c>
      <c r="BH84" s="20">
        <f t="shared" ref="BH84:BH88" si="251">LN(BG84)</f>
        <v>1.922224579</v>
      </c>
      <c r="BI84" s="321">
        <f t="shared" ref="BI84:BI88" si="252">LN(BG84/BF84)</f>
        <v>0.2035626561</v>
      </c>
    </row>
    <row r="85" ht="15.75" hidden="1" customHeight="1">
      <c r="A85" s="319">
        <v>75.0</v>
      </c>
      <c r="B85" s="320">
        <v>2.3512544802867383</v>
      </c>
      <c r="C85" s="20">
        <v>13.04230785167831</v>
      </c>
      <c r="D85" s="20">
        <f t="shared" si="235"/>
        <v>2.568198523</v>
      </c>
      <c r="E85" s="321">
        <f t="shared" si="236"/>
        <v>1.713249516</v>
      </c>
      <c r="F85" s="320">
        <v>57.189964157706086</v>
      </c>
      <c r="G85" s="20">
        <v>5.612546856856714</v>
      </c>
      <c r="H85" s="20">
        <f t="shared" si="237"/>
        <v>1.725004602</v>
      </c>
      <c r="I85" s="321">
        <f t="shared" si="238"/>
        <v>-2.32137383</v>
      </c>
      <c r="J85" s="320">
        <v>32.63799283154122</v>
      </c>
      <c r="K85" s="20">
        <v>8.833198692120565</v>
      </c>
      <c r="L85" s="20">
        <f t="shared" si="239"/>
        <v>2.178517202</v>
      </c>
      <c r="M85" s="321">
        <f t="shared" si="240"/>
        <v>-1.306959832</v>
      </c>
      <c r="Y85" s="319">
        <v>75.0</v>
      </c>
      <c r="Z85" s="320">
        <v>4.860215053763441</v>
      </c>
      <c r="AA85" s="20">
        <v>10.772858799528137</v>
      </c>
      <c r="AB85" s="20">
        <f t="shared" si="241"/>
        <v>2.377029897</v>
      </c>
      <c r="AC85" s="321">
        <f t="shared" si="242"/>
        <v>0.7959472103</v>
      </c>
      <c r="AD85" s="320">
        <v>16.688172043010752</v>
      </c>
      <c r="AE85" s="20">
        <v>9.218974999260887</v>
      </c>
      <c r="AF85" s="20">
        <f t="shared" si="243"/>
        <v>2.22126386</v>
      </c>
      <c r="AG85" s="321">
        <f t="shared" si="244"/>
        <v>-0.5934363476</v>
      </c>
      <c r="AH85" s="320">
        <v>32.817204301075265</v>
      </c>
      <c r="AI85" s="20">
        <v>7.046960748799184</v>
      </c>
      <c r="AJ85" s="20">
        <f t="shared" si="245"/>
        <v>1.952596424</v>
      </c>
      <c r="AK85" s="321">
        <f t="shared" si="246"/>
        <v>-1.538356475</v>
      </c>
      <c r="AW85" s="319">
        <v>75.0</v>
      </c>
      <c r="AX85" s="320">
        <v>2.5304659498207887</v>
      </c>
      <c r="AY85" s="20">
        <v>11.019271082905224</v>
      </c>
      <c r="AZ85" s="20">
        <f t="shared" si="247"/>
        <v>2.399645657</v>
      </c>
      <c r="BA85" s="321">
        <f t="shared" si="248"/>
        <v>1.471242201</v>
      </c>
      <c r="BB85" s="320">
        <v>21.34767025089606</v>
      </c>
      <c r="BC85" s="20">
        <v>8.482348979232412</v>
      </c>
      <c r="BD85" s="20">
        <f t="shared" si="249"/>
        <v>2.137987414</v>
      </c>
      <c r="BE85" s="321">
        <f t="shared" si="250"/>
        <v>-0.9229551983</v>
      </c>
      <c r="BF85" s="320">
        <v>9.519713261648743</v>
      </c>
      <c r="BG85" s="20">
        <v>11.249502421847936</v>
      </c>
      <c r="BH85" s="20">
        <f t="shared" si="251"/>
        <v>2.420323899</v>
      </c>
      <c r="BI85" s="321">
        <f t="shared" si="252"/>
        <v>0.1669591697</v>
      </c>
    </row>
    <row r="86" ht="15.75" hidden="1" customHeight="1">
      <c r="A86" s="319">
        <v>100.0</v>
      </c>
      <c r="B86" s="320">
        <v>6.831541218637992</v>
      </c>
      <c r="C86" s="20">
        <v>14.567819227317436</v>
      </c>
      <c r="D86" s="20">
        <f t="shared" si="235"/>
        <v>2.678814933</v>
      </c>
      <c r="E86" s="321">
        <f t="shared" si="236"/>
        <v>0.7572646311</v>
      </c>
      <c r="F86" s="320">
        <v>65.0</v>
      </c>
      <c r="G86" s="20">
        <v>7.0</v>
      </c>
      <c r="H86" s="20">
        <f t="shared" si="237"/>
        <v>1.945910149</v>
      </c>
      <c r="I86" s="321">
        <f t="shared" si="238"/>
        <v>-2.228477121</v>
      </c>
      <c r="J86" s="320">
        <v>38.19354838709677</v>
      </c>
      <c r="K86" s="20">
        <v>10.49759050607947</v>
      </c>
      <c r="L86" s="20">
        <f t="shared" si="239"/>
        <v>2.351145755</v>
      </c>
      <c r="M86" s="321">
        <f t="shared" si="240"/>
        <v>-1.291520856</v>
      </c>
      <c r="Y86" s="319">
        <v>100.0</v>
      </c>
      <c r="Z86" s="320">
        <v>5.935483870967742</v>
      </c>
      <c r="AA86" s="20">
        <v>13.901898408523735</v>
      </c>
      <c r="AB86" s="20">
        <f t="shared" si="241"/>
        <v>2.632025407</v>
      </c>
      <c r="AC86" s="321">
        <f t="shared" si="242"/>
        <v>0.8510768538</v>
      </c>
      <c r="AD86" s="320">
        <v>26.00716845878136</v>
      </c>
      <c r="AE86" s="20">
        <v>11.206051440959174</v>
      </c>
      <c r="AF86" s="20">
        <f t="shared" si="243"/>
        <v>2.41645394</v>
      </c>
      <c r="AG86" s="321">
        <f t="shared" si="244"/>
        <v>-0.8419182704</v>
      </c>
      <c r="AH86" s="320">
        <v>52.35125448028673</v>
      </c>
      <c r="AI86" s="20">
        <v>7.793846654304835</v>
      </c>
      <c r="AJ86" s="20">
        <f t="shared" si="245"/>
        <v>2.053334532</v>
      </c>
      <c r="AK86" s="321">
        <f t="shared" si="246"/>
        <v>-1.904641368</v>
      </c>
      <c r="AW86" s="319">
        <v>100.0</v>
      </c>
      <c r="AX86" s="320">
        <v>2.8888888888888884</v>
      </c>
      <c r="AY86" s="20">
        <v>14.143820326926342</v>
      </c>
      <c r="AZ86" s="20">
        <f t="shared" si="247"/>
        <v>2.649277803</v>
      </c>
      <c r="BA86" s="321">
        <f t="shared" si="248"/>
        <v>1.588405842</v>
      </c>
      <c r="BB86" s="320">
        <v>31.025089605734763</v>
      </c>
      <c r="BC86" s="20">
        <v>10.459936833883226</v>
      </c>
      <c r="BD86" s="20">
        <f t="shared" si="249"/>
        <v>2.34755242</v>
      </c>
      <c r="BE86" s="321">
        <f t="shared" si="250"/>
        <v>-1.087243799</v>
      </c>
      <c r="BF86" s="320">
        <v>15.97132616487455</v>
      </c>
      <c r="BG86" s="20">
        <v>12.43190091644241</v>
      </c>
      <c r="BH86" s="20">
        <f t="shared" si="251"/>
        <v>2.520265824</v>
      </c>
      <c r="BI86" s="321">
        <f t="shared" si="252"/>
        <v>-0.2505291762</v>
      </c>
    </row>
    <row r="87" ht="15.75" hidden="1" customHeight="1">
      <c r="A87" s="319">
        <v>150.0</v>
      </c>
      <c r="B87" s="320">
        <v>12.387096774193548</v>
      </c>
      <c r="C87" s="20">
        <v>19.079139057562784</v>
      </c>
      <c r="D87" s="20">
        <f t="shared" si="235"/>
        <v>2.948595542</v>
      </c>
      <c r="E87" s="321">
        <f t="shared" si="236"/>
        <v>0.4319401941</v>
      </c>
      <c r="F87" s="320">
        <v>100.55913978494621</v>
      </c>
      <c r="G87" s="20">
        <v>7.168784841064191</v>
      </c>
      <c r="H87" s="20">
        <f t="shared" si="237"/>
        <v>1.969736162</v>
      </c>
      <c r="I87" s="321">
        <f t="shared" si="238"/>
        <v>-2.641009848</v>
      </c>
      <c r="J87" s="320">
        <v>73.49820788530465</v>
      </c>
      <c r="K87" s="20">
        <v>10.738208905573646</v>
      </c>
      <c r="L87" s="20">
        <f t="shared" si="239"/>
        <v>2.373808307</v>
      </c>
      <c r="M87" s="321">
        <f t="shared" si="240"/>
        <v>-1.923452717</v>
      </c>
      <c r="Y87" s="319">
        <v>150.0</v>
      </c>
      <c r="Z87" s="320">
        <v>5.577060931899641</v>
      </c>
      <c r="AA87" s="20">
        <v>18.301508975302504</v>
      </c>
      <c r="AB87" s="20">
        <f t="shared" si="241"/>
        <v>2.906983514</v>
      </c>
      <c r="AC87" s="321">
        <f t="shared" si="242"/>
        <v>1.188321591</v>
      </c>
      <c r="AD87" s="320">
        <v>48.76702508960573</v>
      </c>
      <c r="AE87" s="20">
        <v>12.400822397213869</v>
      </c>
      <c r="AF87" s="20">
        <f t="shared" si="243"/>
        <v>2.517762793</v>
      </c>
      <c r="AG87" s="321">
        <f t="shared" si="244"/>
        <v>-1.369291576</v>
      </c>
      <c r="AH87" s="320">
        <v>76.00716845878135</v>
      </c>
      <c r="AI87" s="20">
        <v>8.901544665920543</v>
      </c>
      <c r="AJ87" s="20">
        <f t="shared" si="245"/>
        <v>2.18622482</v>
      </c>
      <c r="AK87" s="321">
        <f t="shared" si="246"/>
        <v>-2.144602838</v>
      </c>
      <c r="AW87" s="319">
        <v>150.0</v>
      </c>
      <c r="AX87" s="320">
        <v>7.189964157706092</v>
      </c>
      <c r="AY87" s="20">
        <v>19.50992466132772</v>
      </c>
      <c r="AZ87" s="20">
        <f t="shared" si="247"/>
        <v>2.970923293</v>
      </c>
      <c r="BA87" s="321">
        <f t="shared" si="248"/>
        <v>0.9982371064</v>
      </c>
      <c r="BB87" s="320">
        <v>71.8853046594982</v>
      </c>
      <c r="BC87" s="20">
        <v>10.991758928743177</v>
      </c>
      <c r="BD87" s="20">
        <f t="shared" si="249"/>
        <v>2.397145804</v>
      </c>
      <c r="BE87" s="321">
        <f t="shared" si="250"/>
        <v>-1.877926054</v>
      </c>
      <c r="BF87" s="320">
        <v>53.24731182795699</v>
      </c>
      <c r="BG87" s="20">
        <v>13.516967690823842</v>
      </c>
      <c r="BH87" s="20">
        <f t="shared" si="251"/>
        <v>2.603945762</v>
      </c>
      <c r="BI87" s="321">
        <f t="shared" si="252"/>
        <v>-1.371001559</v>
      </c>
    </row>
    <row r="88" ht="15.75" hidden="1" customHeight="1">
      <c r="A88" s="319">
        <v>250.0</v>
      </c>
      <c r="B88" s="322">
        <v>48.767025089605724</v>
      </c>
      <c r="C88" s="323">
        <v>19.867549668874176</v>
      </c>
      <c r="D88" s="323">
        <f t="shared" si="235"/>
        <v>2.989087731</v>
      </c>
      <c r="E88" s="324">
        <f t="shared" si="236"/>
        <v>-0.8979666382</v>
      </c>
      <c r="F88" s="322">
        <v>138.55197132616485</v>
      </c>
      <c r="G88" s="323">
        <v>7.8591861771302955</v>
      </c>
      <c r="H88" s="323">
        <f t="shared" si="237"/>
        <v>2.061683061</v>
      </c>
      <c r="I88" s="324">
        <f t="shared" si="238"/>
        <v>-2.869562438</v>
      </c>
      <c r="J88" s="322">
        <v>121.16845878136199</v>
      </c>
      <c r="K88" s="323">
        <v>10.124392993091213</v>
      </c>
      <c r="L88" s="323">
        <f t="shared" si="239"/>
        <v>2.31494766</v>
      </c>
      <c r="M88" s="324">
        <f t="shared" si="240"/>
        <v>-2.482234139</v>
      </c>
      <c r="Y88" s="319">
        <v>250.0</v>
      </c>
      <c r="Z88" s="322">
        <v>25.111111111111114</v>
      </c>
      <c r="AA88" s="323">
        <v>24.516421256319177</v>
      </c>
      <c r="AB88" s="323">
        <f t="shared" si="241"/>
        <v>3.199343148</v>
      </c>
      <c r="AC88" s="324">
        <f t="shared" si="242"/>
        <v>-0.02396727355</v>
      </c>
      <c r="AD88" s="322">
        <v>103.06810035842292</v>
      </c>
      <c r="AE88" s="323">
        <v>14.34657601273193</v>
      </c>
      <c r="AF88" s="323">
        <f t="shared" si="243"/>
        <v>2.663511308</v>
      </c>
      <c r="AG88" s="324">
        <f t="shared" si="244"/>
        <v>-1.97187863</v>
      </c>
      <c r="AH88" s="322">
        <v>134.43010752688173</v>
      </c>
      <c r="AI88" s="323">
        <v>10.193206958112519</v>
      </c>
      <c r="AJ88" s="323">
        <f t="shared" si="245"/>
        <v>2.321721514</v>
      </c>
      <c r="AK88" s="324">
        <f t="shared" si="246"/>
        <v>-2.579322903</v>
      </c>
      <c r="AW88" s="319">
        <v>250.0</v>
      </c>
      <c r="AX88" s="322">
        <v>86.93906810035841</v>
      </c>
      <c r="AY88" s="323">
        <v>26.893177852477017</v>
      </c>
      <c r="AZ88" s="323">
        <f t="shared" si="247"/>
        <v>3.291872643</v>
      </c>
      <c r="BA88" s="324">
        <f t="shared" si="248"/>
        <v>-1.173334864</v>
      </c>
      <c r="BB88" s="322">
        <v>217.40501792114696</v>
      </c>
      <c r="BC88" s="323">
        <v>9.507213684410061</v>
      </c>
      <c r="BD88" s="323">
        <f t="shared" si="249"/>
        <v>2.252050846</v>
      </c>
      <c r="BE88" s="324">
        <f t="shared" si="250"/>
        <v>-3.12971121</v>
      </c>
      <c r="BF88" s="322">
        <v>167.2258064516129</v>
      </c>
      <c r="BG88" s="323">
        <v>16.2467013926002</v>
      </c>
      <c r="BH88" s="323">
        <f t="shared" si="251"/>
        <v>2.787889897</v>
      </c>
      <c r="BI88" s="324">
        <f t="shared" si="252"/>
        <v>-2.331455137</v>
      </c>
    </row>
    <row r="89" ht="15.75" hidden="1" customHeight="1">
      <c r="A89" s="319">
        <v>350.0</v>
      </c>
      <c r="Y89" s="319">
        <v>350.0</v>
      </c>
      <c r="AW89" s="319">
        <v>350.0</v>
      </c>
    </row>
    <row r="90" ht="15.75" hidden="1" customHeight="1"/>
    <row r="91" ht="15.75" hidden="1" customHeight="1"/>
    <row r="92" ht="15.75" hidden="1" customHeight="1">
      <c r="B92" s="166" t="s">
        <v>849</v>
      </c>
      <c r="C92" s="167" t="s">
        <v>850</v>
      </c>
      <c r="D92" s="168" t="s">
        <v>851</v>
      </c>
      <c r="F92" s="166" t="s">
        <v>852</v>
      </c>
      <c r="G92" s="167" t="s">
        <v>853</v>
      </c>
      <c r="H92" s="168" t="s">
        <v>854</v>
      </c>
      <c r="J92" s="166" t="s">
        <v>855</v>
      </c>
      <c r="K92" s="167" t="s">
        <v>856</v>
      </c>
      <c r="L92" s="168" t="s">
        <v>857</v>
      </c>
      <c r="Z92" s="166" t="s">
        <v>858</v>
      </c>
      <c r="AA92" s="167" t="s">
        <v>859</v>
      </c>
      <c r="AB92" s="168" t="s">
        <v>860</v>
      </c>
      <c r="AD92" s="166" t="s">
        <v>861</v>
      </c>
      <c r="AE92" s="167" t="s">
        <v>862</v>
      </c>
      <c r="AF92" s="168" t="s">
        <v>863</v>
      </c>
      <c r="AH92" s="166" t="s">
        <v>864</v>
      </c>
      <c r="AI92" s="167" t="s">
        <v>865</v>
      </c>
      <c r="AJ92" s="168" t="s">
        <v>866</v>
      </c>
      <c r="AX92" s="166" t="s">
        <v>867</v>
      </c>
      <c r="AY92" s="167" t="s">
        <v>868</v>
      </c>
      <c r="AZ92" s="168" t="s">
        <v>869</v>
      </c>
      <c r="BB92" s="166" t="s">
        <v>870</v>
      </c>
      <c r="BC92" s="167" t="s">
        <v>871</v>
      </c>
      <c r="BD92" s="168" t="s">
        <v>872</v>
      </c>
      <c r="BF92" s="166" t="s">
        <v>873</v>
      </c>
      <c r="BG92" s="167" t="s">
        <v>874</v>
      </c>
      <c r="BH92" s="168" t="s">
        <v>875</v>
      </c>
    </row>
    <row r="93" ht="15.75" hidden="1" customHeight="1">
      <c r="B93" s="354">
        <v>0.0821</v>
      </c>
      <c r="C93" s="303">
        <f>EXP(-2.1839)</f>
        <v>0.1126015272</v>
      </c>
      <c r="D93" s="348">
        <v>0.6703</v>
      </c>
      <c r="F93" s="354">
        <v>0.4982</v>
      </c>
      <c r="G93" s="303">
        <f>EXP(-1.9562)</f>
        <v>0.1413947012</v>
      </c>
      <c r="H93" s="348">
        <v>0.7752</v>
      </c>
      <c r="J93" s="354">
        <v>0.1098</v>
      </c>
      <c r="K93" s="303">
        <f>EXP(-2.0123)</f>
        <v>0.1336808548</v>
      </c>
      <c r="L93" s="348">
        <v>0.1837</v>
      </c>
      <c r="Z93" s="354">
        <v>0.0559</v>
      </c>
      <c r="AA93" s="303">
        <f>EXP(-2.4656)</f>
        <v>0.08495785236</v>
      </c>
      <c r="AB93" s="348">
        <v>0.2809</v>
      </c>
      <c r="AD93" s="354">
        <v>-0.0476</v>
      </c>
      <c r="AE93" s="303">
        <f>EXP(-2.0213)</f>
        <v>0.132483125</v>
      </c>
      <c r="AF93" s="348">
        <v>0.2418</v>
      </c>
      <c r="AH93" s="354">
        <v>0.2766</v>
      </c>
      <c r="AI93" s="303">
        <f>EXP(-2.0031)</f>
        <v>0.1349163935</v>
      </c>
      <c r="AJ93" s="348">
        <v>0.9584</v>
      </c>
      <c r="AX93" s="354">
        <v>0.1219</v>
      </c>
      <c r="AY93" s="303">
        <f>EXP(-2.3132)</f>
        <v>0.09894412323</v>
      </c>
      <c r="AZ93" s="348">
        <v>0.9209</v>
      </c>
      <c r="BB93" s="354">
        <v>0.1949</v>
      </c>
      <c r="BC93" s="303">
        <f>EXP(-1.9759)</f>
        <v>0.1386364832</v>
      </c>
      <c r="BD93" s="348">
        <v>0.5501</v>
      </c>
      <c r="BF93" s="354">
        <v>0.302</v>
      </c>
      <c r="BG93" s="303">
        <f>EXP(-2.0303)</f>
        <v>0.1312961264</v>
      </c>
      <c r="BH93" s="348">
        <v>0.89</v>
      </c>
    </row>
    <row r="94" ht="15.75" hidden="1" customHeight="1">
      <c r="A94" s="147"/>
      <c r="B94" s="355" t="s">
        <v>876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56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87" t="s">
        <v>877</v>
      </c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9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87" t="s">
        <v>878</v>
      </c>
      <c r="AY94" s="188"/>
      <c r="AZ94" s="188"/>
      <c r="BA94" s="188"/>
      <c r="BB94" s="188"/>
      <c r="BC94" s="188"/>
      <c r="BD94" s="188"/>
      <c r="BE94" s="188"/>
      <c r="BF94" s="188"/>
      <c r="BG94" s="188"/>
      <c r="BH94" s="188"/>
      <c r="BI94" s="189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</row>
    <row r="95" ht="15.75" hidden="1" customHeight="1">
      <c r="A95" s="147"/>
      <c r="B95" s="316" t="s">
        <v>229</v>
      </c>
      <c r="C95" s="314"/>
      <c r="D95" s="314"/>
      <c r="E95" s="234"/>
      <c r="F95" s="316" t="s">
        <v>230</v>
      </c>
      <c r="G95" s="314"/>
      <c r="H95" s="314"/>
      <c r="I95" s="234"/>
      <c r="J95" s="316" t="s">
        <v>231</v>
      </c>
      <c r="K95" s="314"/>
      <c r="L95" s="314"/>
      <c r="M95" s="234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315" t="s">
        <v>229</v>
      </c>
      <c r="AA95" s="314"/>
      <c r="AB95" s="314"/>
      <c r="AC95" s="234"/>
      <c r="AD95" s="357" t="s">
        <v>230</v>
      </c>
      <c r="AE95" s="314"/>
      <c r="AF95" s="314"/>
      <c r="AG95" s="234"/>
      <c r="AH95" s="315" t="s">
        <v>231</v>
      </c>
      <c r="AI95" s="314"/>
      <c r="AJ95" s="314"/>
      <c r="AK95" s="234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315" t="s">
        <v>229</v>
      </c>
      <c r="AY95" s="314"/>
      <c r="AZ95" s="314"/>
      <c r="BA95" s="234"/>
      <c r="BB95" s="315" t="s">
        <v>230</v>
      </c>
      <c r="BC95" s="314"/>
      <c r="BD95" s="314"/>
      <c r="BE95" s="234"/>
      <c r="BF95" s="315" t="s">
        <v>231</v>
      </c>
      <c r="BG95" s="314"/>
      <c r="BH95" s="314"/>
      <c r="BI95" s="234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</row>
    <row r="96" ht="15.75" hidden="1" customHeight="1">
      <c r="A96" s="258" t="s">
        <v>168</v>
      </c>
      <c r="B96" s="317" t="s">
        <v>378</v>
      </c>
      <c r="C96" s="50" t="s">
        <v>168</v>
      </c>
      <c r="D96" s="50" t="s">
        <v>443</v>
      </c>
      <c r="E96" s="318" t="s">
        <v>444</v>
      </c>
      <c r="F96" s="317" t="s">
        <v>378</v>
      </c>
      <c r="G96" s="50" t="s">
        <v>168</v>
      </c>
      <c r="H96" s="50" t="s">
        <v>443</v>
      </c>
      <c r="I96" s="318" t="s">
        <v>444</v>
      </c>
      <c r="J96" s="317" t="s">
        <v>378</v>
      </c>
      <c r="K96" s="50" t="s">
        <v>168</v>
      </c>
      <c r="L96" s="50" t="s">
        <v>443</v>
      </c>
      <c r="M96" s="318" t="s">
        <v>444</v>
      </c>
      <c r="Y96" s="258" t="s">
        <v>168</v>
      </c>
      <c r="Z96" s="317" t="s">
        <v>378</v>
      </c>
      <c r="AA96" s="50" t="s">
        <v>168</v>
      </c>
      <c r="AB96" s="50" t="s">
        <v>443</v>
      </c>
      <c r="AC96" s="318" t="s">
        <v>444</v>
      </c>
      <c r="AD96" s="358" t="s">
        <v>378</v>
      </c>
      <c r="AE96" s="50" t="s">
        <v>168</v>
      </c>
      <c r="AF96" s="50" t="s">
        <v>443</v>
      </c>
      <c r="AG96" s="318" t="s">
        <v>444</v>
      </c>
      <c r="AH96" s="317" t="s">
        <v>378</v>
      </c>
      <c r="AI96" s="50" t="s">
        <v>168</v>
      </c>
      <c r="AJ96" s="50" t="s">
        <v>443</v>
      </c>
      <c r="AK96" s="318" t="s">
        <v>444</v>
      </c>
      <c r="AW96" s="258" t="s">
        <v>168</v>
      </c>
      <c r="AX96" s="317" t="s">
        <v>378</v>
      </c>
      <c r="AY96" s="50" t="s">
        <v>168</v>
      </c>
      <c r="AZ96" s="50" t="s">
        <v>443</v>
      </c>
      <c r="BA96" s="318" t="s">
        <v>444</v>
      </c>
      <c r="BB96" s="317" t="s">
        <v>378</v>
      </c>
      <c r="BC96" s="50" t="s">
        <v>168</v>
      </c>
      <c r="BD96" s="50" t="s">
        <v>443</v>
      </c>
      <c r="BE96" s="318" t="s">
        <v>444</v>
      </c>
      <c r="BF96" s="317" t="s">
        <v>378</v>
      </c>
      <c r="BG96" s="50" t="s">
        <v>168</v>
      </c>
      <c r="BH96" s="50" t="s">
        <v>443</v>
      </c>
      <c r="BI96" s="318" t="s">
        <v>444</v>
      </c>
    </row>
    <row r="97" ht="15.75" hidden="1" customHeight="1">
      <c r="A97" s="319">
        <v>50.0</v>
      </c>
      <c r="B97" s="320">
        <v>0.40382065809977274</v>
      </c>
      <c r="C97" s="20">
        <v>66.5089605734767</v>
      </c>
      <c r="D97" s="20">
        <f t="shared" ref="D97:D101" si="253">LOG(1-B97)</f>
        <v>-0.2246230767</v>
      </c>
      <c r="E97" s="321">
        <f t="shared" ref="E97:E101" si="254">LOG(B97/C97)</f>
        <v>-2.216691628</v>
      </c>
      <c r="F97" s="320">
        <v>0.5439808538632549</v>
      </c>
      <c r="G97" s="20">
        <v>66.5089605734767</v>
      </c>
      <c r="H97" s="20">
        <f t="shared" ref="H97:H101" si="255">LOG(1-F97)</f>
        <v>-0.3410169229</v>
      </c>
      <c r="I97" s="321">
        <f t="shared" ref="I97:I101" si="256">LOG(F97/G97)</f>
        <v>-2.087296546</v>
      </c>
      <c r="J97" s="320">
        <v>0.6519245932661734</v>
      </c>
      <c r="K97" s="20">
        <v>66.5089605734767</v>
      </c>
      <c r="L97" s="20">
        <f t="shared" ref="L97:L99" si="257">LOG(1-J97)</f>
        <v>-0.4583266607</v>
      </c>
      <c r="M97" s="321">
        <f t="shared" ref="M97:M101" si="258">LOG(J97/K97)</f>
        <v>-2.008682796</v>
      </c>
      <c r="Y97" s="319">
        <v>50.0</v>
      </c>
      <c r="Z97" s="320">
        <v>0.17823438572409053</v>
      </c>
      <c r="AA97" s="11">
        <v>54.32258064516128</v>
      </c>
      <c r="AB97" s="20">
        <f t="shared" ref="AB97:AB101" si="259">LOG(1-Z97)</f>
        <v>-0.08525203519</v>
      </c>
      <c r="AC97" s="321">
        <f t="shared" ref="AC97:AC101" si="260">LOG(Z97/AA97)</f>
        <v>-2.4839889</v>
      </c>
      <c r="AD97" s="320">
        <f t="shared" ref="AD97:AD101" si="261">AE84/$AD$67</f>
        <v>0.6674511548</v>
      </c>
      <c r="AE97" s="11">
        <v>54.32258064516128</v>
      </c>
      <c r="AF97" s="20">
        <f t="shared" ref="AF97:AF101" si="262">LOG(1-AD97)</f>
        <v>-0.478144556</v>
      </c>
      <c r="AG97" s="321">
        <f t="shared" ref="AG97:AG101" si="263">LOG(AD97/AE97)</f>
        <v>-1.910560905</v>
      </c>
      <c r="AH97" s="320">
        <f t="shared" ref="AH97:AH101" si="264">AI84/$AH$67</f>
        <v>0.4730700774</v>
      </c>
      <c r="AI97" s="11">
        <v>54.32258064516128</v>
      </c>
      <c r="AJ97" s="20">
        <f t="shared" ref="AJ97:AJ101" si="265">LOG(1-AH97)</f>
        <v>-0.2782471386</v>
      </c>
      <c r="AK97" s="321">
        <f t="shared" ref="AK97:AK101" si="266">LOG(AH97/AI97)</f>
        <v>-2.060054914</v>
      </c>
      <c r="AW97" s="319">
        <v>50.0</v>
      </c>
      <c r="AX97" s="320">
        <v>0.2559463720994248</v>
      </c>
      <c r="AY97" s="11">
        <v>57.189964157706086</v>
      </c>
      <c r="AZ97" s="20">
        <f t="shared" ref="AZ97:AZ101" si="267">LOG(1-AX97)</f>
        <v>-0.1283957614</v>
      </c>
      <c r="BA97" s="321">
        <f t="shared" ref="BA97:BA101" si="268">LOG(AX97/AY97)</f>
        <v>-2.349170846</v>
      </c>
      <c r="BB97" s="320">
        <v>0.6579570130311829</v>
      </c>
      <c r="BC97" s="11">
        <v>57.189964157706086</v>
      </c>
      <c r="BD97" s="20">
        <f t="shared" ref="BD97:BD101" si="269">LOG(1-BB97)</f>
        <v>-0.4659193096</v>
      </c>
      <c r="BE97" s="321">
        <f t="shared" ref="BE97:BE101" si="270">LOG(BB97/BC97)</f>
        <v>-1.939122304</v>
      </c>
      <c r="BF97" s="320">
        <v>0.40606725777569164</v>
      </c>
      <c r="BG97" s="11">
        <v>57.189964157706086</v>
      </c>
      <c r="BH97" s="20">
        <f t="shared" ref="BH97:BH101" si="271">LOG(1-BF97)</f>
        <v>-0.2262627323</v>
      </c>
      <c r="BI97" s="321">
        <f t="shared" ref="BI97:BI101" si="272">LOG(BF97/BG97)</f>
        <v>-2.148721852</v>
      </c>
    </row>
    <row r="98" ht="15.75" hidden="1" customHeight="1">
      <c r="A98" s="319">
        <v>75.0</v>
      </c>
      <c r="B98" s="320">
        <v>0.6234223153102233</v>
      </c>
      <c r="C98" s="20">
        <v>100.55913978494623</v>
      </c>
      <c r="D98" s="20">
        <f t="shared" si="253"/>
        <v>-0.4241454191</v>
      </c>
      <c r="E98" s="321">
        <f t="shared" si="254"/>
        <v>-2.207639206</v>
      </c>
      <c r="F98" s="320">
        <v>0.6044712964834681</v>
      </c>
      <c r="G98" s="20">
        <v>100.55913978494623</v>
      </c>
      <c r="H98" s="20">
        <f t="shared" si="255"/>
        <v>-0.4028219943</v>
      </c>
      <c r="I98" s="321">
        <f t="shared" si="256"/>
        <v>-2.221045867</v>
      </c>
      <c r="J98" s="320">
        <v>0.8232541181056366</v>
      </c>
      <c r="K98" s="20">
        <v>100.55913978494623</v>
      </c>
      <c r="L98" s="20">
        <f t="shared" si="257"/>
        <v>-0.7526506963</v>
      </c>
      <c r="M98" s="321">
        <f t="shared" si="258"/>
        <v>-2.086887638</v>
      </c>
      <c r="Y98" s="319">
        <v>75.0</v>
      </c>
      <c r="Z98" s="320">
        <v>0.2908671875872597</v>
      </c>
      <c r="AA98" s="11">
        <v>86.2222222222222</v>
      </c>
      <c r="AB98" s="20">
        <f t="shared" si="259"/>
        <v>-0.1492724188</v>
      </c>
      <c r="AC98" s="321">
        <f t="shared" si="260"/>
        <v>-2.47192448</v>
      </c>
      <c r="AD98" s="320">
        <f t="shared" si="261"/>
        <v>0.9928836074</v>
      </c>
      <c r="AE98" s="11">
        <v>86.2222222222222</v>
      </c>
      <c r="AF98" s="20">
        <f t="shared" si="262"/>
        <v>-2.147740102</v>
      </c>
      <c r="AG98" s="321">
        <f t="shared" si="263"/>
        <v>-1.938720871</v>
      </c>
      <c r="AH98" s="320">
        <f t="shared" si="264"/>
        <v>0.6567767418</v>
      </c>
      <c r="AI98" s="11">
        <v>86.2222222222222</v>
      </c>
      <c r="AJ98" s="20">
        <f t="shared" si="265"/>
        <v>-0.4644232903</v>
      </c>
      <c r="AK98" s="321">
        <f t="shared" si="266"/>
        <v>-2.118201447</v>
      </c>
      <c r="AW98" s="319">
        <v>75.0</v>
      </c>
      <c r="AX98" s="320">
        <v>0.3900821963348449</v>
      </c>
      <c r="AY98" s="11">
        <v>85.86379928315411</v>
      </c>
      <c r="AZ98" s="20">
        <f t="shared" si="267"/>
        <v>-0.2147286893</v>
      </c>
      <c r="BA98" s="321">
        <f t="shared" si="268"/>
        <v>-2.342653972</v>
      </c>
      <c r="BB98" s="320">
        <v>0.8821642938401709</v>
      </c>
      <c r="BC98" s="11">
        <v>85.86379928315411</v>
      </c>
      <c r="BD98" s="20">
        <f t="shared" si="269"/>
        <v>-0.9287230912</v>
      </c>
      <c r="BE98" s="321">
        <f t="shared" si="270"/>
        <v>-1.988260626</v>
      </c>
      <c r="BF98" s="320">
        <v>0.6682204438577675</v>
      </c>
      <c r="BG98" s="11">
        <v>85.86379928315411</v>
      </c>
      <c r="BH98" s="20">
        <f t="shared" si="271"/>
        <v>-0.4791503782</v>
      </c>
      <c r="BI98" s="321">
        <f t="shared" si="272"/>
        <v>-2.108890343</v>
      </c>
    </row>
    <row r="99" ht="15.75" hidden="1" customHeight="1">
      <c r="A99" s="319">
        <v>100.0</v>
      </c>
      <c r="B99" s="320">
        <v>0.6963417590657736</v>
      </c>
      <c r="C99" s="20">
        <v>118.48028673835125</v>
      </c>
      <c r="D99" s="20">
        <f t="shared" si="253"/>
        <v>-0.5176149281</v>
      </c>
      <c r="E99" s="321">
        <f t="shared" si="254"/>
        <v>-2.230823656</v>
      </c>
      <c r="F99" s="320">
        <v>0.7539000000000001</v>
      </c>
      <c r="G99" s="20">
        <v>118.48028673835125</v>
      </c>
      <c r="H99" s="20">
        <f t="shared" si="255"/>
        <v>-0.6088883863</v>
      </c>
      <c r="I99" s="321">
        <f t="shared" si="256"/>
        <v>-2.196332353</v>
      </c>
      <c r="J99" s="320">
        <v>0.9783754351666067</v>
      </c>
      <c r="K99" s="20">
        <v>118.48028673835125</v>
      </c>
      <c r="L99" s="20">
        <f t="shared" si="257"/>
        <v>-1.665052623</v>
      </c>
      <c r="M99" s="321">
        <f t="shared" si="258"/>
        <v>-2.083140557</v>
      </c>
      <c r="Y99" s="319">
        <v>100.0</v>
      </c>
      <c r="Z99" s="320">
        <v>0.37535125703014083</v>
      </c>
      <c r="AA99" s="11">
        <v>111.31182795698923</v>
      </c>
      <c r="AB99" s="20">
        <f t="shared" si="259"/>
        <v>-0.2043641297</v>
      </c>
      <c r="AC99" s="321">
        <f t="shared" si="260"/>
        <v>-2.47210344</v>
      </c>
      <c r="AD99" s="320">
        <f t="shared" si="261"/>
        <v>1.20689174</v>
      </c>
      <c r="AE99" s="11">
        <v>111.31182795698923</v>
      </c>
      <c r="AF99" s="20" t="str">
        <f t="shared" si="262"/>
        <v>#NUM!</v>
      </c>
      <c r="AG99" s="321">
        <f t="shared" si="263"/>
        <v>-1.964873</v>
      </c>
      <c r="AH99" s="320">
        <f t="shared" si="264"/>
        <v>0.7263865082</v>
      </c>
      <c r="AI99" s="11">
        <v>111.31182795698923</v>
      </c>
      <c r="AJ99" s="20">
        <f t="shared" si="265"/>
        <v>-0.5628624915</v>
      </c>
      <c r="AK99" s="321">
        <f t="shared" si="266"/>
        <v>-2.185373546</v>
      </c>
      <c r="AW99" s="319">
        <v>100.0</v>
      </c>
      <c r="AX99" s="320">
        <v>0.5006912395731925</v>
      </c>
      <c r="AY99" s="11">
        <v>110.23655913978493</v>
      </c>
      <c r="AZ99" s="20">
        <f t="shared" si="267"/>
        <v>-0.3016308141</v>
      </c>
      <c r="BA99" s="321">
        <f t="shared" si="268"/>
        <v>-2.342755656</v>
      </c>
      <c r="BB99" s="320">
        <v>1.0878334307238555</v>
      </c>
      <c r="BC99" s="11">
        <v>110.23655913978493</v>
      </c>
      <c r="BD99" s="20" t="str">
        <f t="shared" si="269"/>
        <v>#NUM!</v>
      </c>
      <c r="BE99" s="321">
        <f t="shared" si="270"/>
        <v>-2.005763248</v>
      </c>
      <c r="BF99" s="320">
        <v>0.7384549144366792</v>
      </c>
      <c r="BG99" s="11">
        <v>110.23655913978493</v>
      </c>
      <c r="BH99" s="20">
        <f t="shared" si="271"/>
        <v>-0.582453436</v>
      </c>
      <c r="BI99" s="321">
        <f t="shared" si="272"/>
        <v>-2.174001664</v>
      </c>
    </row>
    <row r="100" ht="15.75" hidden="1" customHeight="1">
      <c r="A100" s="319">
        <v>150.0</v>
      </c>
      <c r="B100" s="320">
        <v>0.9119828469515012</v>
      </c>
      <c r="C100" s="20">
        <v>155.75627240143368</v>
      </c>
      <c r="D100" s="20">
        <f t="shared" si="253"/>
        <v>-1.055432683</v>
      </c>
      <c r="E100" s="321">
        <f t="shared" si="254"/>
        <v>-2.232458875</v>
      </c>
      <c r="F100" s="320">
        <v>0.7720781273826135</v>
      </c>
      <c r="G100" s="20">
        <v>155.75627240143368</v>
      </c>
      <c r="H100" s="20">
        <f t="shared" si="255"/>
        <v>-0.6422139956</v>
      </c>
      <c r="I100" s="321">
        <f t="shared" si="256"/>
        <v>-2.304784296</v>
      </c>
      <c r="J100" s="320">
        <v>1.0008010699994638</v>
      </c>
      <c r="K100" s="20">
        <v>155.75627240143368</v>
      </c>
      <c r="L100" s="20"/>
      <c r="M100" s="321">
        <f t="shared" si="258"/>
        <v>-2.192097784</v>
      </c>
      <c r="Y100" s="319">
        <v>150.0</v>
      </c>
      <c r="Z100" s="320">
        <v>0.49414074233316757</v>
      </c>
      <c r="AA100" s="11">
        <v>143.56989247311827</v>
      </c>
      <c r="AB100" s="20">
        <f t="shared" si="259"/>
        <v>-0.2959702976</v>
      </c>
      <c r="AC100" s="321">
        <f t="shared" si="260"/>
        <v>-2.463212712</v>
      </c>
      <c r="AD100" s="320">
        <f t="shared" si="261"/>
        <v>1.335568572</v>
      </c>
      <c r="AE100" s="11">
        <v>143.56989247311827</v>
      </c>
      <c r="AF100" s="20" t="str">
        <f t="shared" si="262"/>
        <v>#NUM!</v>
      </c>
      <c r="AG100" s="321">
        <f t="shared" si="263"/>
        <v>-2.031397184</v>
      </c>
      <c r="AH100" s="320">
        <f t="shared" si="264"/>
        <v>0.8296239629</v>
      </c>
      <c r="AI100" s="11">
        <v>143.56989247311827</v>
      </c>
      <c r="AJ100" s="20">
        <f t="shared" si="265"/>
        <v>-0.7685914875</v>
      </c>
      <c r="AK100" s="321">
        <f t="shared" si="266"/>
        <v>-2.238182087</v>
      </c>
      <c r="AW100" s="319">
        <v>150.0</v>
      </c>
      <c r="AX100" s="320">
        <v>0.6906513330110013</v>
      </c>
      <c r="AY100" s="11">
        <v>154.6810035842294</v>
      </c>
      <c r="AZ100" s="20">
        <f t="shared" si="267"/>
        <v>-0.5095517511</v>
      </c>
      <c r="BA100" s="321">
        <f t="shared" si="268"/>
        <v>-2.350178127</v>
      </c>
      <c r="BB100" s="320">
        <v>1.1431429285892905</v>
      </c>
      <c r="BC100" s="11">
        <v>154.6810035842294</v>
      </c>
      <c r="BD100" s="20" t="str">
        <f t="shared" si="269"/>
        <v>#NUM!</v>
      </c>
      <c r="BE100" s="321">
        <f t="shared" si="270"/>
        <v>-2.131336447</v>
      </c>
      <c r="BF100" s="320">
        <v>0.8029078808349362</v>
      </c>
      <c r="BG100" s="11">
        <v>154.6810035842294</v>
      </c>
      <c r="BH100" s="20">
        <f t="shared" si="271"/>
        <v>-0.7053307409</v>
      </c>
      <c r="BI100" s="321">
        <f t="shared" si="272"/>
        <v>-2.28477126</v>
      </c>
    </row>
    <row r="101" ht="15.75" hidden="1" customHeight="1">
      <c r="A101" s="319">
        <v>250.0</v>
      </c>
      <c r="B101" s="322">
        <v>0.9496688741721857</v>
      </c>
      <c r="C101" s="323">
        <v>198.76702508960577</v>
      </c>
      <c r="D101" s="323">
        <f t="shared" si="253"/>
        <v>-1.298163355</v>
      </c>
      <c r="E101" s="324">
        <f t="shared" si="254"/>
        <v>-2.320772134</v>
      </c>
      <c r="F101" s="322">
        <v>0.8464343512769329</v>
      </c>
      <c r="G101" s="323">
        <v>198.76702508960577</v>
      </c>
      <c r="H101" s="323">
        <f t="shared" si="255"/>
        <v>-0.8137059213</v>
      </c>
      <c r="I101" s="324">
        <f t="shared" si="256"/>
        <v>-2.370751058</v>
      </c>
      <c r="J101" s="322">
        <v>0.9435934269561012</v>
      </c>
      <c r="K101" s="323">
        <v>198.76702508960577</v>
      </c>
      <c r="L101" s="323">
        <f>LOG(1-J101)</f>
        <v>-1.248670285</v>
      </c>
      <c r="M101" s="324">
        <f t="shared" si="258"/>
        <v>-2.323559431</v>
      </c>
      <c r="Y101" s="319">
        <v>250.0</v>
      </c>
      <c r="Z101" s="322">
        <v>0.6619433739206178</v>
      </c>
      <c r="AA101" s="214">
        <v>211.31182795698925</v>
      </c>
      <c r="AB101" s="323">
        <f t="shared" si="259"/>
        <v>-0.4710105473</v>
      </c>
      <c r="AC101" s="324">
        <f t="shared" si="260"/>
        <v>-2.504102968</v>
      </c>
      <c r="AD101" s="322">
        <f t="shared" si="261"/>
        <v>1.545126237</v>
      </c>
      <c r="AE101" s="214">
        <v>211.31182795698925</v>
      </c>
      <c r="AF101" s="323" t="str">
        <f t="shared" si="262"/>
        <v>#NUM!</v>
      </c>
      <c r="AG101" s="324">
        <f t="shared" si="263"/>
        <v>-2.13595984</v>
      </c>
      <c r="AH101" s="322">
        <f t="shared" si="264"/>
        <v>0.9500068885</v>
      </c>
      <c r="AI101" s="214">
        <v>211.31182795698925</v>
      </c>
      <c r="AJ101" s="323">
        <f t="shared" si="265"/>
        <v>-1.301089833</v>
      </c>
      <c r="AK101" s="324">
        <f t="shared" si="266"/>
        <v>-2.347197053</v>
      </c>
      <c r="AW101" s="319">
        <v>250.0</v>
      </c>
      <c r="AX101" s="322">
        <v>0.9520184959776864</v>
      </c>
      <c r="AY101" s="214">
        <v>289.44802867383515</v>
      </c>
      <c r="AZ101" s="323">
        <f t="shared" si="267"/>
        <v>-1.318926143</v>
      </c>
      <c r="BA101" s="324">
        <f t="shared" si="268"/>
        <v>-2.48292521</v>
      </c>
      <c r="BB101" s="322">
        <v>0.9887502231786464</v>
      </c>
      <c r="BC101" s="214">
        <v>289.44802867383515</v>
      </c>
      <c r="BD101" s="323">
        <f t="shared" si="269"/>
        <v>-1.948856093</v>
      </c>
      <c r="BE101" s="324">
        <f t="shared" si="270"/>
        <v>-2.466484002</v>
      </c>
      <c r="BF101" s="322">
        <v>0.965054062720452</v>
      </c>
      <c r="BG101" s="214">
        <v>289.44802867383515</v>
      </c>
      <c r="BH101" s="323">
        <f t="shared" si="271"/>
        <v>-1.456603307</v>
      </c>
      <c r="BI101" s="324">
        <f t="shared" si="272"/>
        <v>-2.477018953</v>
      </c>
    </row>
    <row r="102" ht="15.75" hidden="1" customHeight="1">
      <c r="A102" s="319">
        <v>350.0</v>
      </c>
      <c r="Y102" s="319">
        <v>350.0</v>
      </c>
      <c r="AW102" s="319">
        <v>350.0</v>
      </c>
    </row>
    <row r="103" ht="15.75" hidden="1" customHeight="1"/>
    <row r="104" ht="15.75" hidden="1" customHeight="1"/>
    <row r="105" ht="15.75" hidden="1" customHeight="1">
      <c r="B105" s="166" t="s">
        <v>879</v>
      </c>
      <c r="C105" s="167" t="s">
        <v>880</v>
      </c>
      <c r="D105" s="168" t="s">
        <v>881</v>
      </c>
      <c r="E105" s="166" t="s">
        <v>882</v>
      </c>
      <c r="F105" s="167" t="s">
        <v>883</v>
      </c>
      <c r="G105" s="168" t="s">
        <v>884</v>
      </c>
      <c r="H105" s="166" t="s">
        <v>885</v>
      </c>
      <c r="I105" s="167" t="s">
        <v>886</v>
      </c>
      <c r="J105" s="168" t="s">
        <v>887</v>
      </c>
      <c r="Z105" s="166" t="s">
        <v>888</v>
      </c>
      <c r="AA105" s="167" t="s">
        <v>889</v>
      </c>
      <c r="AB105" s="168" t="s">
        <v>890</v>
      </c>
      <c r="AC105" s="166" t="s">
        <v>891</v>
      </c>
      <c r="AD105" s="167" t="s">
        <v>892</v>
      </c>
      <c r="AE105" s="168" t="s">
        <v>893</v>
      </c>
      <c r="AF105" s="166" t="s">
        <v>894</v>
      </c>
      <c r="AG105" s="167" t="s">
        <v>895</v>
      </c>
      <c r="AH105" s="168" t="s">
        <v>896</v>
      </c>
      <c r="AX105" s="166" t="s">
        <v>897</v>
      </c>
      <c r="AY105" s="167" t="s">
        <v>898</v>
      </c>
      <c r="AZ105" s="168" t="s">
        <v>899</v>
      </c>
      <c r="BA105" s="166" t="s">
        <v>900</v>
      </c>
      <c r="BB105" s="167" t="s">
        <v>901</v>
      </c>
      <c r="BC105" s="168" t="s">
        <v>902</v>
      </c>
      <c r="BD105" s="166" t="s">
        <v>903</v>
      </c>
      <c r="BE105" s="167" t="s">
        <v>904</v>
      </c>
      <c r="BF105" s="168" t="s">
        <v>905</v>
      </c>
    </row>
    <row r="106" ht="15.75" hidden="1" customHeight="1">
      <c r="B106" s="338">
        <f>-EXP(2.4927)</f>
        <v>-12.09388557</v>
      </c>
      <c r="C106" s="305">
        <v>-0.0117</v>
      </c>
      <c r="D106" s="304">
        <v>0.4411</v>
      </c>
      <c r="E106" s="338">
        <f>-EXP(1.5614)</f>
        <v>-4.765488261</v>
      </c>
      <c r="F106" s="305">
        <v>-0.0039</v>
      </c>
      <c r="G106" s="304">
        <v>0.8161</v>
      </c>
      <c r="H106" s="338">
        <f>-EXP(2.0844)</f>
        <v>-8.039766175</v>
      </c>
      <c r="I106" s="305">
        <v>-0.0027</v>
      </c>
      <c r="J106" s="304">
        <v>0.4086</v>
      </c>
      <c r="Z106" s="338">
        <f>EXP(2.2353)</f>
        <v>9.349286217</v>
      </c>
      <c r="AA106" s="305">
        <v>-0.0396</v>
      </c>
      <c r="AB106" s="304">
        <v>0.4888</v>
      </c>
      <c r="AC106" s="338">
        <f>EXP(2.0491)</f>
        <v>7.76091314</v>
      </c>
      <c r="AD106" s="305">
        <v>-0.0069</v>
      </c>
      <c r="AE106" s="304">
        <v>0.6629</v>
      </c>
      <c r="AF106" s="338">
        <f>EXP(1.7052)</f>
        <v>5.502486054</v>
      </c>
      <c r="AG106" s="305">
        <v>-0.0052</v>
      </c>
      <c r="AH106" s="304">
        <v>0.8124</v>
      </c>
      <c r="AX106" s="338">
        <f>EXP(2.4559)</f>
        <v>11.65692006</v>
      </c>
      <c r="AY106" s="305">
        <v>-0.0099</v>
      </c>
      <c r="AZ106" s="304">
        <v>0.5311</v>
      </c>
      <c r="BA106" s="338">
        <f>EXP(2.1316)</f>
        <v>8.428341375</v>
      </c>
      <c r="BB106" s="305">
        <v>-9.0E-4</v>
      </c>
      <c r="BC106" s="304">
        <v>0.1269</v>
      </c>
      <c r="BD106" s="338">
        <f>EXP(2.2815)</f>
        <v>9.791356434</v>
      </c>
      <c r="BE106" s="305">
        <v>-0.0034</v>
      </c>
      <c r="BF106" s="304">
        <v>0.4973</v>
      </c>
    </row>
    <row r="107" ht="15.75" hidden="1" customHeight="1">
      <c r="A107" s="147"/>
      <c r="B107" s="359" t="s">
        <v>906</v>
      </c>
      <c r="C107" s="3"/>
      <c r="D107" s="3"/>
      <c r="E107" s="3"/>
      <c r="F107" s="3"/>
      <c r="G107" s="3"/>
      <c r="H107" s="3"/>
      <c r="I107" s="3"/>
      <c r="J107" s="356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91" t="s">
        <v>473</v>
      </c>
      <c r="AA107" s="91"/>
      <c r="AB107" s="91"/>
      <c r="AC107" s="91"/>
      <c r="AD107" s="91"/>
      <c r="AE107" s="91"/>
      <c r="AF107" s="91"/>
      <c r="AG107" s="91"/>
      <c r="AH107" s="92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91" t="s">
        <v>474</v>
      </c>
      <c r="AY107" s="91"/>
      <c r="AZ107" s="91"/>
      <c r="BA107" s="91"/>
      <c r="BB107" s="91"/>
      <c r="BC107" s="91"/>
      <c r="BD107" s="91"/>
      <c r="BE107" s="91"/>
      <c r="BF107" s="92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</row>
    <row r="108" ht="15.75" hidden="1" customHeight="1">
      <c r="A108" s="147"/>
      <c r="B108" s="187" t="s">
        <v>229</v>
      </c>
      <c r="C108" s="188"/>
      <c r="D108" s="189"/>
      <c r="E108" s="187" t="s">
        <v>230</v>
      </c>
      <c r="F108" s="188"/>
      <c r="G108" s="189"/>
      <c r="H108" s="187" t="s">
        <v>231</v>
      </c>
      <c r="I108" s="188"/>
      <c r="J108" s="189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315" t="s">
        <v>229</v>
      </c>
      <c r="AA108" s="314"/>
      <c r="AB108" s="234"/>
      <c r="AC108" s="187" t="s">
        <v>230</v>
      </c>
      <c r="AD108" s="188"/>
      <c r="AE108" s="189"/>
      <c r="AF108" s="187" t="s">
        <v>231</v>
      </c>
      <c r="AG108" s="188"/>
      <c r="AH108" s="189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315" t="s">
        <v>229</v>
      </c>
      <c r="AY108" s="314"/>
      <c r="AZ108" s="234"/>
      <c r="BA108" s="187" t="s">
        <v>230</v>
      </c>
      <c r="BB108" s="188"/>
      <c r="BC108" s="189"/>
      <c r="BD108" s="187" t="s">
        <v>231</v>
      </c>
      <c r="BE108" s="188"/>
      <c r="BF108" s="189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</row>
    <row r="109" ht="15.75" hidden="1" customHeight="1">
      <c r="A109" s="258" t="s">
        <v>168</v>
      </c>
      <c r="B109" s="317" t="s">
        <v>232</v>
      </c>
      <c r="C109" s="49" t="s">
        <v>233</v>
      </c>
      <c r="D109" s="360" t="s">
        <v>411</v>
      </c>
      <c r="E109" s="317" t="s">
        <v>232</v>
      </c>
      <c r="F109" s="50" t="s">
        <v>233</v>
      </c>
      <c r="G109" s="318" t="s">
        <v>411</v>
      </c>
      <c r="H109" s="317" t="s">
        <v>232</v>
      </c>
      <c r="I109" s="50" t="s">
        <v>233</v>
      </c>
      <c r="J109" s="318" t="s">
        <v>411</v>
      </c>
      <c r="Y109" s="258" t="s">
        <v>168</v>
      </c>
      <c r="Z109" s="317" t="s">
        <v>232</v>
      </c>
      <c r="AA109" s="50" t="s">
        <v>233</v>
      </c>
      <c r="AB109" s="50" t="s">
        <v>411</v>
      </c>
      <c r="AC109" s="317" t="s">
        <v>232</v>
      </c>
      <c r="AD109" s="50" t="s">
        <v>233</v>
      </c>
      <c r="AE109" s="50" t="s">
        <v>411</v>
      </c>
      <c r="AF109" s="317" t="s">
        <v>232</v>
      </c>
      <c r="AG109" s="50" t="s">
        <v>233</v>
      </c>
      <c r="AH109" s="318" t="s">
        <v>411</v>
      </c>
      <c r="AW109" s="258" t="s">
        <v>168</v>
      </c>
      <c r="AX109" s="317" t="s">
        <v>232</v>
      </c>
      <c r="AY109" s="50" t="s">
        <v>233</v>
      </c>
      <c r="AZ109" s="50" t="s">
        <v>411</v>
      </c>
      <c r="BA109" s="317" t="s">
        <v>232</v>
      </c>
      <c r="BB109" s="50" t="s">
        <v>233</v>
      </c>
      <c r="BC109" s="50" t="s">
        <v>411</v>
      </c>
      <c r="BD109" s="317" t="s">
        <v>232</v>
      </c>
      <c r="BE109" s="50" t="s">
        <v>233</v>
      </c>
      <c r="BF109" s="318" t="s">
        <v>411</v>
      </c>
    </row>
    <row r="110" ht="15.75" hidden="1" customHeight="1">
      <c r="A110" s="319">
        <v>50.0</v>
      </c>
      <c r="B110" s="320">
        <v>2.5304659498207887</v>
      </c>
      <c r="C110" s="20">
        <v>8.448130922589387</v>
      </c>
      <c r="D110" s="361">
        <f t="shared" ref="D110:D114" si="273">LN(C110)</f>
        <v>2.133945224</v>
      </c>
      <c r="E110" s="320">
        <v>27.6200716845878</v>
      </c>
      <c r="F110" s="20">
        <v>5.050890008015365</v>
      </c>
      <c r="G110" s="321">
        <f t="shared" ref="G110:G114" si="274">LN(F110)</f>
        <v>1.619564467</v>
      </c>
      <c r="H110" s="320">
        <v>12.924731182795696</v>
      </c>
      <c r="I110" s="20">
        <v>6.994899069379541</v>
      </c>
      <c r="J110" s="321">
        <f t="shared" ref="J110:J114" si="275">LN(I110)</f>
        <v>1.945181179</v>
      </c>
      <c r="Y110" s="319">
        <v>50.0</v>
      </c>
      <c r="Z110" s="320">
        <v>4.681003584229391</v>
      </c>
      <c r="AA110" s="20">
        <v>6.601273545336687</v>
      </c>
      <c r="AB110" s="20">
        <f t="shared" ref="AB110:AB114" si="276">LN(AA110)</f>
        <v>1.887262592</v>
      </c>
      <c r="AC110" s="320">
        <v>7.548387096774192</v>
      </c>
      <c r="AD110" s="20">
        <v>6.197318057836213</v>
      </c>
      <c r="AE110" s="20">
        <f t="shared" ref="AE110:AE114" si="277">LN(AD110)</f>
        <v>1.824116627</v>
      </c>
      <c r="AF110" s="320">
        <v>15.97132616487455</v>
      </c>
      <c r="AG110" s="20">
        <v>5.075859199580501</v>
      </c>
      <c r="AH110" s="321">
        <f t="shared" ref="AH110:AH114" si="278">LN(AG110)</f>
        <v>1.624495811</v>
      </c>
      <c r="AW110" s="319">
        <v>50.0</v>
      </c>
      <c r="AX110" s="320">
        <v>2.351254480286738</v>
      </c>
      <c r="AY110" s="20">
        <v>7.230123505633468</v>
      </c>
      <c r="AZ110" s="20">
        <f t="shared" ref="AZ110:AZ114" si="279">LN(AY110)</f>
        <v>1.978256118</v>
      </c>
      <c r="BA110" s="320">
        <v>9.519713261648745</v>
      </c>
      <c r="BB110" s="20">
        <v>6.326509740684451</v>
      </c>
      <c r="BC110" s="20">
        <f t="shared" ref="BC110:BC114" si="280">LN(BB110)</f>
        <v>1.8447487</v>
      </c>
      <c r="BD110" s="320">
        <v>5.577060931899641</v>
      </c>
      <c r="BE110" s="20">
        <v>6.836149120802889</v>
      </c>
      <c r="BF110" s="321">
        <f t="shared" ref="BF110:BF114" si="281">LN(BE110)</f>
        <v>1.922224579</v>
      </c>
    </row>
    <row r="111" ht="15.75" hidden="1" customHeight="1">
      <c r="A111" s="319">
        <v>75.0</v>
      </c>
      <c r="B111" s="320">
        <v>2.3512544802867383</v>
      </c>
      <c r="C111" s="20">
        <v>13.04230785167831</v>
      </c>
      <c r="D111" s="321">
        <f t="shared" si="273"/>
        <v>2.568198523</v>
      </c>
      <c r="E111" s="320">
        <v>57.189964157706086</v>
      </c>
      <c r="F111" s="20">
        <v>5.612546856856714</v>
      </c>
      <c r="G111" s="321">
        <f t="shared" si="274"/>
        <v>1.725004602</v>
      </c>
      <c r="H111" s="320">
        <v>32.63799283154122</v>
      </c>
      <c r="I111" s="20">
        <v>8.833198692120565</v>
      </c>
      <c r="J111" s="321">
        <f t="shared" si="275"/>
        <v>2.178517202</v>
      </c>
      <c r="Y111" s="319">
        <v>75.0</v>
      </c>
      <c r="Z111" s="320">
        <v>4.860215053763441</v>
      </c>
      <c r="AA111" s="20">
        <v>10.772858799528137</v>
      </c>
      <c r="AB111" s="20">
        <f t="shared" si="276"/>
        <v>2.377029897</v>
      </c>
      <c r="AC111" s="320">
        <v>16.688172043010752</v>
      </c>
      <c r="AD111" s="20">
        <v>9.218974999260887</v>
      </c>
      <c r="AE111" s="20">
        <f t="shared" si="277"/>
        <v>2.22126386</v>
      </c>
      <c r="AF111" s="320">
        <v>32.817204301075265</v>
      </c>
      <c r="AG111" s="20">
        <v>7.046960748799184</v>
      </c>
      <c r="AH111" s="321">
        <f t="shared" si="278"/>
        <v>1.952596424</v>
      </c>
      <c r="AW111" s="319">
        <v>75.0</v>
      </c>
      <c r="AX111" s="320">
        <v>2.5304659498207887</v>
      </c>
      <c r="AY111" s="20">
        <v>11.019271082905224</v>
      </c>
      <c r="AZ111" s="20">
        <f t="shared" si="279"/>
        <v>2.399645657</v>
      </c>
      <c r="BA111" s="320">
        <v>21.34767025089606</v>
      </c>
      <c r="BB111" s="20">
        <v>8.482348979232412</v>
      </c>
      <c r="BC111" s="20">
        <f t="shared" si="280"/>
        <v>2.137987414</v>
      </c>
      <c r="BD111" s="320">
        <v>9.519713261648743</v>
      </c>
      <c r="BE111" s="20">
        <v>11.249502421847936</v>
      </c>
      <c r="BF111" s="321">
        <f t="shared" si="281"/>
        <v>2.420323899</v>
      </c>
    </row>
    <row r="112" ht="15.75" hidden="1" customHeight="1">
      <c r="A112" s="319">
        <v>100.0</v>
      </c>
      <c r="B112" s="320">
        <v>6.831541218637992</v>
      </c>
      <c r="C112" s="20">
        <v>14.567819227317436</v>
      </c>
      <c r="D112" s="321">
        <f t="shared" si="273"/>
        <v>2.678814933</v>
      </c>
      <c r="E112" s="320">
        <v>65.0</v>
      </c>
      <c r="F112" s="20">
        <v>7.0</v>
      </c>
      <c r="G112" s="321">
        <f t="shared" si="274"/>
        <v>1.945910149</v>
      </c>
      <c r="H112" s="320">
        <v>38.19354838709677</v>
      </c>
      <c r="I112" s="20">
        <v>10.49759050607947</v>
      </c>
      <c r="J112" s="321">
        <f t="shared" si="275"/>
        <v>2.351145755</v>
      </c>
      <c r="Y112" s="319">
        <v>100.0</v>
      </c>
      <c r="Z112" s="320">
        <v>5.935483870967742</v>
      </c>
      <c r="AA112" s="20">
        <v>13.901898408523735</v>
      </c>
      <c r="AB112" s="20">
        <f t="shared" si="276"/>
        <v>2.632025407</v>
      </c>
      <c r="AC112" s="320">
        <v>26.00716845878136</v>
      </c>
      <c r="AD112" s="20">
        <v>11.206051440959174</v>
      </c>
      <c r="AE112" s="20">
        <f t="shared" si="277"/>
        <v>2.41645394</v>
      </c>
      <c r="AF112" s="320">
        <v>52.35125448028673</v>
      </c>
      <c r="AG112" s="20">
        <v>7.793846654304835</v>
      </c>
      <c r="AH112" s="321">
        <f t="shared" si="278"/>
        <v>2.053334532</v>
      </c>
      <c r="AW112" s="319">
        <v>100.0</v>
      </c>
      <c r="AX112" s="320">
        <v>2.8888888888888884</v>
      </c>
      <c r="AY112" s="20">
        <v>14.143820326926342</v>
      </c>
      <c r="AZ112" s="20">
        <f t="shared" si="279"/>
        <v>2.649277803</v>
      </c>
      <c r="BA112" s="320">
        <v>31.025089605734763</v>
      </c>
      <c r="BB112" s="20">
        <v>10.459936833883226</v>
      </c>
      <c r="BC112" s="20">
        <f t="shared" si="280"/>
        <v>2.34755242</v>
      </c>
      <c r="BD112" s="320">
        <v>15.97132616487455</v>
      </c>
      <c r="BE112" s="20">
        <v>12.43190091644241</v>
      </c>
      <c r="BF112" s="321">
        <f t="shared" si="281"/>
        <v>2.520265824</v>
      </c>
    </row>
    <row r="113" ht="15.75" hidden="1" customHeight="1">
      <c r="A113" s="319">
        <v>150.0</v>
      </c>
      <c r="B113" s="320">
        <v>12.387096774193548</v>
      </c>
      <c r="C113" s="20">
        <v>19.079139057562784</v>
      </c>
      <c r="D113" s="321">
        <f t="shared" si="273"/>
        <v>2.948595542</v>
      </c>
      <c r="E113" s="320">
        <v>100.55913978494621</v>
      </c>
      <c r="F113" s="20">
        <v>7.168784841064191</v>
      </c>
      <c r="G113" s="321">
        <f t="shared" si="274"/>
        <v>1.969736162</v>
      </c>
      <c r="H113" s="320">
        <v>73.49820788530465</v>
      </c>
      <c r="I113" s="20">
        <v>10.738208905573646</v>
      </c>
      <c r="J113" s="321">
        <f t="shared" si="275"/>
        <v>2.373808307</v>
      </c>
      <c r="Y113" s="319">
        <v>150.0</v>
      </c>
      <c r="Z113" s="320">
        <v>5.577060931899641</v>
      </c>
      <c r="AA113" s="20">
        <v>18.301508975302504</v>
      </c>
      <c r="AB113" s="20">
        <f t="shared" si="276"/>
        <v>2.906983514</v>
      </c>
      <c r="AC113" s="320">
        <v>48.76702508960573</v>
      </c>
      <c r="AD113" s="20">
        <v>12.400822397213869</v>
      </c>
      <c r="AE113" s="20">
        <f t="shared" si="277"/>
        <v>2.517762793</v>
      </c>
      <c r="AF113" s="320">
        <v>76.00716845878135</v>
      </c>
      <c r="AG113" s="20">
        <v>8.901544665920543</v>
      </c>
      <c r="AH113" s="321">
        <f t="shared" si="278"/>
        <v>2.18622482</v>
      </c>
      <c r="AW113" s="319">
        <v>150.0</v>
      </c>
      <c r="AX113" s="320">
        <v>7.189964157706092</v>
      </c>
      <c r="AY113" s="20">
        <v>19.50992466132772</v>
      </c>
      <c r="AZ113" s="20">
        <f t="shared" si="279"/>
        <v>2.970923293</v>
      </c>
      <c r="BA113" s="320">
        <v>71.8853046594982</v>
      </c>
      <c r="BB113" s="20">
        <v>10.991758928743177</v>
      </c>
      <c r="BC113" s="20">
        <f t="shared" si="280"/>
        <v>2.397145804</v>
      </c>
      <c r="BD113" s="320">
        <v>53.24731182795699</v>
      </c>
      <c r="BE113" s="20">
        <v>13.516967690823842</v>
      </c>
      <c r="BF113" s="321">
        <f t="shared" si="281"/>
        <v>2.603945762</v>
      </c>
    </row>
    <row r="114" ht="15.75" hidden="1" customHeight="1">
      <c r="A114" s="319">
        <v>250.0</v>
      </c>
      <c r="B114" s="322">
        <v>48.767025089605724</v>
      </c>
      <c r="C114" s="323">
        <v>19.867549668874176</v>
      </c>
      <c r="D114" s="324">
        <f t="shared" si="273"/>
        <v>2.989087731</v>
      </c>
      <c r="E114" s="322">
        <v>138.55197132616485</v>
      </c>
      <c r="F114" s="323">
        <v>7.8591861771302955</v>
      </c>
      <c r="G114" s="324">
        <f t="shared" si="274"/>
        <v>2.061683061</v>
      </c>
      <c r="H114" s="322">
        <v>121.16845878136199</v>
      </c>
      <c r="I114" s="323">
        <v>10.124392993091213</v>
      </c>
      <c r="J114" s="324">
        <f t="shared" si="275"/>
        <v>2.31494766</v>
      </c>
      <c r="Y114" s="319">
        <v>250.0</v>
      </c>
      <c r="Z114" s="322">
        <v>25.111111111111114</v>
      </c>
      <c r="AA114" s="323">
        <v>24.516421256319177</v>
      </c>
      <c r="AB114" s="323">
        <f t="shared" si="276"/>
        <v>3.199343148</v>
      </c>
      <c r="AC114" s="322">
        <v>103.06810035842292</v>
      </c>
      <c r="AD114" s="323">
        <v>14.34657601273193</v>
      </c>
      <c r="AE114" s="323">
        <f t="shared" si="277"/>
        <v>2.663511308</v>
      </c>
      <c r="AF114" s="322">
        <v>134.43010752688173</v>
      </c>
      <c r="AG114" s="323">
        <v>10.193206958112519</v>
      </c>
      <c r="AH114" s="324">
        <f t="shared" si="278"/>
        <v>2.321721514</v>
      </c>
      <c r="AW114" s="319">
        <v>250.0</v>
      </c>
      <c r="AX114" s="322">
        <v>86.93906810035841</v>
      </c>
      <c r="AY114" s="323">
        <v>26.893177852477017</v>
      </c>
      <c r="AZ114" s="323">
        <f t="shared" si="279"/>
        <v>3.291872643</v>
      </c>
      <c r="BA114" s="322">
        <v>217.40501792114696</v>
      </c>
      <c r="BB114" s="323">
        <v>9.507213684410061</v>
      </c>
      <c r="BC114" s="323">
        <f t="shared" si="280"/>
        <v>2.252050846</v>
      </c>
      <c r="BD114" s="322">
        <v>167.2258064516129</v>
      </c>
      <c r="BE114" s="323">
        <v>16.2467013926002</v>
      </c>
      <c r="BF114" s="324">
        <f t="shared" si="281"/>
        <v>2.787889897</v>
      </c>
    </row>
    <row r="115" ht="15.75" hidden="1" customHeight="1">
      <c r="A115" s="319">
        <v>350.0</v>
      </c>
      <c r="Y115" s="319">
        <v>350.0</v>
      </c>
      <c r="AW115" s="319">
        <v>350.0</v>
      </c>
    </row>
    <row r="116" ht="15.75" hidden="1" customHeight="1"/>
    <row r="117" ht="15.75" hidden="1" customHeight="1"/>
    <row r="118" ht="15.75" customHeight="1"/>
    <row r="119" ht="15.75" customHeight="1"/>
    <row r="120" ht="15.75" customHeight="1"/>
    <row r="121" ht="15.75" customHeight="1"/>
    <row r="122" ht="15.75" customHeight="1">
      <c r="B122" s="166" t="s">
        <v>907</v>
      </c>
      <c r="C122" s="167" t="s">
        <v>908</v>
      </c>
      <c r="D122" s="167" t="s">
        <v>909</v>
      </c>
      <c r="E122" s="168" t="s">
        <v>910</v>
      </c>
      <c r="G122" s="166" t="s">
        <v>911</v>
      </c>
      <c r="H122" s="167" t="s">
        <v>912</v>
      </c>
      <c r="I122" s="167" t="s">
        <v>913</v>
      </c>
      <c r="J122" s="168" t="s">
        <v>914</v>
      </c>
      <c r="L122" s="166" t="s">
        <v>915</v>
      </c>
      <c r="M122" s="167" t="s">
        <v>916</v>
      </c>
      <c r="N122" s="167" t="s">
        <v>917</v>
      </c>
      <c r="O122" s="168" t="s">
        <v>918</v>
      </c>
      <c r="Z122" s="166" t="s">
        <v>919</v>
      </c>
      <c r="AA122" s="167" t="s">
        <v>920</v>
      </c>
      <c r="AB122" s="167" t="s">
        <v>921</v>
      </c>
      <c r="AC122" s="168" t="s">
        <v>922</v>
      </c>
      <c r="AE122" s="166" t="s">
        <v>923</v>
      </c>
      <c r="AF122" s="167" t="s">
        <v>924</v>
      </c>
      <c r="AG122" s="167" t="s">
        <v>925</v>
      </c>
      <c r="AH122" s="168" t="s">
        <v>926</v>
      </c>
      <c r="AJ122" s="166" t="s">
        <v>927</v>
      </c>
      <c r="AK122" s="167" t="s">
        <v>928</v>
      </c>
      <c r="AL122" s="167" t="s">
        <v>929</v>
      </c>
      <c r="AM122" s="168" t="s">
        <v>930</v>
      </c>
      <c r="AX122" s="166" t="s">
        <v>931</v>
      </c>
      <c r="AY122" s="167" t="s">
        <v>932</v>
      </c>
      <c r="AZ122" s="167" t="s">
        <v>933</v>
      </c>
      <c r="BA122" s="168" t="s">
        <v>934</v>
      </c>
      <c r="BC122" s="166" t="s">
        <v>935</v>
      </c>
      <c r="BD122" s="167" t="s">
        <v>936</v>
      </c>
      <c r="BE122" s="167" t="s">
        <v>937</v>
      </c>
      <c r="BF122" s="168" t="s">
        <v>938</v>
      </c>
      <c r="BH122" s="166" t="s">
        <v>939</v>
      </c>
      <c r="BI122" s="167" t="s">
        <v>940</v>
      </c>
      <c r="BJ122" s="167" t="s">
        <v>941</v>
      </c>
      <c r="BK122" s="168" t="s">
        <v>942</v>
      </c>
    </row>
    <row r="123" ht="15.75" customHeight="1">
      <c r="B123" s="230">
        <f>-(-0.0047)</f>
        <v>0.0047</v>
      </c>
      <c r="C123" s="232">
        <f>-(1/(-0.0047))</f>
        <v>212.7659574</v>
      </c>
      <c r="D123" s="232">
        <f>0.0074*C123</f>
        <v>1.574468085</v>
      </c>
      <c r="E123" s="235">
        <v>0.66</v>
      </c>
      <c r="F123" s="61"/>
      <c r="G123" s="230">
        <f>-(-0.002)</f>
        <v>0.002</v>
      </c>
      <c r="H123" s="232">
        <f>-(1/(-0.002))</f>
        <v>500</v>
      </c>
      <c r="I123" s="232">
        <f>0.0046*H123</f>
        <v>2.3</v>
      </c>
      <c r="J123" s="235">
        <v>0.7474</v>
      </c>
      <c r="K123" s="61"/>
      <c r="L123" s="230">
        <f>-(0.0458)</f>
        <v>-0.0458</v>
      </c>
      <c r="M123" s="232">
        <f>-(1/(0.0458))</f>
        <v>-21.83406114</v>
      </c>
      <c r="N123" s="232">
        <f>-0.0731*M123</f>
        <v>1.596069869</v>
      </c>
      <c r="O123" s="235">
        <v>0.4346</v>
      </c>
      <c r="Z123" s="230">
        <f>-(-0.002)</f>
        <v>0.002</v>
      </c>
      <c r="AA123" s="232">
        <f>-(1/(-0.002))</f>
        <v>500</v>
      </c>
      <c r="AB123" s="232">
        <f>0.0041*AA123</f>
        <v>2.05</v>
      </c>
      <c r="AC123" s="235">
        <v>0.7426</v>
      </c>
      <c r="AD123" s="61"/>
      <c r="AE123" s="230">
        <f>-(-0.0012)</f>
        <v>0.0012</v>
      </c>
      <c r="AF123" s="232">
        <f>-(1/(-0.0012))</f>
        <v>833.3333333</v>
      </c>
      <c r="AG123" s="232">
        <f>0.0051*AF123</f>
        <v>4.25</v>
      </c>
      <c r="AH123" s="235">
        <v>0.2414</v>
      </c>
      <c r="AI123" s="61"/>
      <c r="AJ123" s="230">
        <f>-(0.0004)</f>
        <v>-0.0004</v>
      </c>
      <c r="AK123" s="232">
        <f>-(1/(0.0004))</f>
        <v>-2500</v>
      </c>
      <c r="AL123" s="232">
        <f>0.0025*AK123</f>
        <v>-6.25</v>
      </c>
      <c r="AM123" s="235">
        <v>0.0643</v>
      </c>
      <c r="AX123" s="365">
        <f>-(-0.003)</f>
        <v>0.003</v>
      </c>
      <c r="AY123" s="232">
        <f>-(1/(-0.003))</f>
        <v>333.3333333</v>
      </c>
      <c r="AZ123" s="232">
        <f>0.0062*AY123</f>
        <v>2.066666667</v>
      </c>
      <c r="BA123" s="235">
        <v>0.6282</v>
      </c>
      <c r="BB123" s="61"/>
      <c r="BC123" s="230">
        <f>-(0.0027)</f>
        <v>-0.0027</v>
      </c>
      <c r="BD123" s="232">
        <f>-(1/(-0.0027))</f>
        <v>370.3703704</v>
      </c>
      <c r="BE123" s="232">
        <f>0.0061*BD123</f>
        <v>2.259259259</v>
      </c>
      <c r="BF123" s="235">
        <v>0.6919</v>
      </c>
      <c r="BG123" s="61"/>
      <c r="BH123" s="230">
        <f>-(0.0417)</f>
        <v>-0.0417</v>
      </c>
      <c r="BI123" s="232">
        <f>-(1/(0.0417))</f>
        <v>-23.98081535</v>
      </c>
      <c r="BJ123" s="232">
        <f>-0.0557*BI123</f>
        <v>1.335731415</v>
      </c>
      <c r="BK123" s="235">
        <v>0.3261</v>
      </c>
    </row>
    <row r="124" ht="15.75" customHeight="1">
      <c r="A124" s="147"/>
      <c r="B124" s="185" t="s">
        <v>943</v>
      </c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2"/>
      <c r="Q124" s="147"/>
      <c r="R124" s="147"/>
      <c r="S124" s="147"/>
      <c r="T124" s="147"/>
      <c r="U124" s="147"/>
      <c r="V124" s="147"/>
      <c r="W124" s="147"/>
      <c r="X124" s="147"/>
      <c r="Y124" s="147"/>
      <c r="Z124" s="185" t="s">
        <v>944</v>
      </c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2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85" t="s">
        <v>945</v>
      </c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2"/>
      <c r="BM124" s="147"/>
      <c r="BN124" s="147"/>
      <c r="BO124" s="147"/>
      <c r="BP124" s="147"/>
      <c r="BQ124" s="147"/>
      <c r="BR124" s="147"/>
      <c r="BS124" s="147"/>
      <c r="BT124" s="147"/>
      <c r="BU124" s="147"/>
    </row>
    <row r="125" ht="15.75" customHeight="1">
      <c r="A125" s="147"/>
      <c r="B125" s="187" t="s">
        <v>229</v>
      </c>
      <c r="C125" s="188"/>
      <c r="D125" s="188"/>
      <c r="E125" s="188"/>
      <c r="F125" s="190"/>
      <c r="G125" s="187" t="s">
        <v>230</v>
      </c>
      <c r="H125" s="188"/>
      <c r="I125" s="188"/>
      <c r="J125" s="188"/>
      <c r="K125" s="190"/>
      <c r="L125" s="187" t="s">
        <v>231</v>
      </c>
      <c r="M125" s="188"/>
      <c r="N125" s="188"/>
      <c r="O125" s="188"/>
      <c r="P125" s="189"/>
      <c r="Q125" s="147"/>
      <c r="R125" s="147"/>
      <c r="S125" s="147"/>
      <c r="T125" s="147"/>
      <c r="U125" s="147"/>
      <c r="V125" s="147"/>
      <c r="W125" s="147"/>
      <c r="X125" s="147"/>
      <c r="Y125" s="147"/>
      <c r="Z125" s="187" t="s">
        <v>229</v>
      </c>
      <c r="AA125" s="188"/>
      <c r="AB125" s="188"/>
      <c r="AC125" s="188"/>
      <c r="AD125" s="189"/>
      <c r="AE125" s="187" t="s">
        <v>230</v>
      </c>
      <c r="AF125" s="188"/>
      <c r="AG125" s="188"/>
      <c r="AH125" s="188"/>
      <c r="AI125" s="189"/>
      <c r="AJ125" s="191" t="s">
        <v>231</v>
      </c>
      <c r="AK125" s="91"/>
      <c r="AL125" s="91"/>
      <c r="AM125" s="91"/>
      <c r="AN125" s="92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87" t="s">
        <v>229</v>
      </c>
      <c r="AY125" s="188"/>
      <c r="AZ125" s="188"/>
      <c r="BA125" s="188"/>
      <c r="BB125" s="189"/>
      <c r="BC125" s="187" t="s">
        <v>230</v>
      </c>
      <c r="BD125" s="188"/>
      <c r="BE125" s="188"/>
      <c r="BF125" s="188"/>
      <c r="BG125" s="189"/>
      <c r="BH125" s="191" t="s">
        <v>231</v>
      </c>
      <c r="BI125" s="91"/>
      <c r="BJ125" s="91"/>
      <c r="BK125" s="91"/>
      <c r="BL125" s="92"/>
      <c r="BM125" s="147"/>
      <c r="BN125" s="147"/>
      <c r="BO125" s="147"/>
      <c r="BP125" s="147"/>
      <c r="BQ125" s="147"/>
      <c r="BR125" s="147"/>
      <c r="BS125" s="147"/>
      <c r="BT125" s="147"/>
      <c r="BU125" s="147"/>
    </row>
    <row r="126" ht="15.75" customHeight="1">
      <c r="A126" s="258" t="s">
        <v>168</v>
      </c>
      <c r="B126" s="166" t="s">
        <v>232</v>
      </c>
      <c r="C126" s="167" t="s">
        <v>233</v>
      </c>
      <c r="D126" s="167" t="s">
        <v>604</v>
      </c>
      <c r="E126" s="167" t="s">
        <v>946</v>
      </c>
      <c r="F126" s="168" t="s">
        <v>171</v>
      </c>
      <c r="G126" s="166" t="s">
        <v>232</v>
      </c>
      <c r="H126" s="167" t="s">
        <v>233</v>
      </c>
      <c r="I126" s="167" t="s">
        <v>604</v>
      </c>
      <c r="J126" s="167" t="s">
        <v>947</v>
      </c>
      <c r="K126" s="168" t="s">
        <v>171</v>
      </c>
      <c r="L126" s="166" t="s">
        <v>232</v>
      </c>
      <c r="M126" s="167" t="s">
        <v>233</v>
      </c>
      <c r="N126" s="167" t="s">
        <v>604</v>
      </c>
      <c r="O126" s="167" t="s">
        <v>948</v>
      </c>
      <c r="P126" s="168" t="s">
        <v>171</v>
      </c>
      <c r="Y126" s="259" t="s">
        <v>168</v>
      </c>
      <c r="Z126" s="161" t="s">
        <v>232</v>
      </c>
      <c r="AA126" s="368" t="s">
        <v>233</v>
      </c>
      <c r="AB126" s="368" t="s">
        <v>604</v>
      </c>
      <c r="AC126" s="368" t="s">
        <v>949</v>
      </c>
      <c r="AD126" s="370" t="s">
        <v>171</v>
      </c>
      <c r="AE126" s="161" t="s">
        <v>232</v>
      </c>
      <c r="AF126" s="368" t="s">
        <v>233</v>
      </c>
      <c r="AG126" s="368" t="s">
        <v>604</v>
      </c>
      <c r="AH126" s="368" t="s">
        <v>950</v>
      </c>
      <c r="AI126" s="370" t="s">
        <v>171</v>
      </c>
      <c r="AJ126" s="161" t="s">
        <v>232</v>
      </c>
      <c r="AK126" s="368" t="s">
        <v>233</v>
      </c>
      <c r="AL126" s="368" t="s">
        <v>604</v>
      </c>
      <c r="AM126" s="368" t="s">
        <v>951</v>
      </c>
      <c r="AN126" s="370" t="s">
        <v>171</v>
      </c>
      <c r="AW126" s="258" t="s">
        <v>168</v>
      </c>
      <c r="AX126" s="166" t="s">
        <v>232</v>
      </c>
      <c r="AY126" s="167" t="s">
        <v>233</v>
      </c>
      <c r="AZ126" s="167" t="s">
        <v>604</v>
      </c>
      <c r="BA126" s="167" t="s">
        <v>952</v>
      </c>
      <c r="BB126" s="168" t="s">
        <v>171</v>
      </c>
      <c r="BC126" s="166" t="s">
        <v>232</v>
      </c>
      <c r="BD126" s="167" t="s">
        <v>233</v>
      </c>
      <c r="BE126" s="167" t="s">
        <v>604</v>
      </c>
      <c r="BF126" s="167" t="s">
        <v>953</v>
      </c>
      <c r="BG126" s="168" t="s">
        <v>171</v>
      </c>
      <c r="BH126" s="166" t="s">
        <v>232</v>
      </c>
      <c r="BI126" s="167" t="s">
        <v>233</v>
      </c>
      <c r="BJ126" s="167" t="s">
        <v>604</v>
      </c>
      <c r="BK126" s="167" t="s">
        <v>954</v>
      </c>
      <c r="BL126" s="168" t="s">
        <v>171</v>
      </c>
    </row>
    <row r="127" ht="15.75" customHeight="1">
      <c r="A127" s="196">
        <v>100.0</v>
      </c>
      <c r="B127" s="151">
        <f t="shared" ref="B127:C127" si="282">B19</f>
        <v>11.40803109</v>
      </c>
      <c r="C127" s="11">
        <f t="shared" si="282"/>
        <v>17.60382087</v>
      </c>
      <c r="D127" s="20">
        <f t="shared" ref="D127:D130" si="286">LOG(B127)</f>
        <v>1.057210696</v>
      </c>
      <c r="E127" s="43">
        <f t="shared" ref="E127:E130" si="287">1/(C127^2)</f>
        <v>0.003226904546</v>
      </c>
      <c r="F127" s="260">
        <f t="shared" ref="F127:F129" si="288">($C$123/($D$123-LOG(B127)))^(1/2)</f>
        <v>20.28139014</v>
      </c>
      <c r="G127" s="151">
        <f t="shared" ref="G127:H127" si="283">G19</f>
        <v>10.56606218</v>
      </c>
      <c r="H127" s="11">
        <f t="shared" si="283"/>
        <v>17.77381457</v>
      </c>
      <c r="I127" s="20">
        <f t="shared" ref="I127:I130" si="290">LOG(G127)</f>
        <v>1.023913162</v>
      </c>
      <c r="J127" s="20">
        <f t="shared" ref="J127:J130" si="291">1/(H127^2)</f>
        <v>0.003165473703</v>
      </c>
      <c r="K127" s="260">
        <f t="shared" ref="K127:K130" si="292">($H$123/($I$123-LOG(G127)))^(1/2)</f>
        <v>19.79451602</v>
      </c>
      <c r="L127" s="151">
        <f t="shared" ref="L127:M127" si="284">L19</f>
        <v>26.6066494</v>
      </c>
      <c r="M127" s="11">
        <f t="shared" si="284"/>
        <v>14.57884391</v>
      </c>
      <c r="N127" s="20">
        <f t="shared" ref="N127:N130" si="294">LOG(L127)</f>
        <v>1.424990187</v>
      </c>
      <c r="O127" s="20">
        <f t="shared" ref="O127:O130" si="295">1/(M127^2)</f>
        <v>0.004704937167</v>
      </c>
      <c r="P127" s="260" t="str">
        <f t="shared" ref="P127:P130" si="296">($M$123/($N$123-LOG(L127)))^(1/2)</f>
        <v>#NUM!</v>
      </c>
      <c r="Y127" s="203">
        <v>100.0</v>
      </c>
      <c r="Z127" s="151">
        <f t="shared" ref="Z127:Z130" si="297">Z19</f>
        <v>7.306131261</v>
      </c>
      <c r="AA127" s="11">
        <f t="shared" ref="AA127:AA130" si="298">AB45</f>
        <v>18.38624649</v>
      </c>
      <c r="AB127" s="20">
        <f t="shared" ref="AB127:AB130" si="299">LOG(Z127)</f>
        <v>0.8636874704</v>
      </c>
      <c r="AC127" s="43">
        <f t="shared" ref="AC127:AC130" si="300">1/(AA127^2)</f>
        <v>0.002958106759</v>
      </c>
      <c r="AD127" s="260">
        <f t="shared" ref="AD127:AD130" si="301">($AA$123/($AB$123-AB127))^(1/2)</f>
        <v>20.52983427</v>
      </c>
      <c r="AE127" s="151">
        <f t="shared" ref="AE127:AE130" si="302">AE19</f>
        <v>22.41839378</v>
      </c>
      <c r="AF127" s="11">
        <f t="shared" ref="AF127:AF130" si="303">AG45</f>
        <v>15.3878969</v>
      </c>
      <c r="AG127" s="20">
        <f t="shared" ref="AG127:AG130" si="304">LOG(AE127)</f>
        <v>1.350604493</v>
      </c>
      <c r="AH127" s="20">
        <f t="shared" ref="AH127:AH130" si="305">1/(AF127^2)</f>
        <v>0.004223198202</v>
      </c>
      <c r="AI127" s="260">
        <f t="shared" ref="AI127:AI130" si="306">($AF$123/($AG$123-(LOG(AE127))))^(1/2)</f>
        <v>16.95335461</v>
      </c>
      <c r="AJ127" s="151">
        <f t="shared" ref="AJ127:AJ130" si="307">AJ19</f>
        <v>15.9201209</v>
      </c>
      <c r="AK127" s="11">
        <f t="shared" ref="AK127:AK130" si="308">AL45</f>
        <v>16.72212047</v>
      </c>
      <c r="AL127" s="20">
        <f t="shared" ref="AL127:AL130" si="309">LOG(AJ127)</f>
        <v>1.201946361</v>
      </c>
      <c r="AM127" s="20">
        <f t="shared" ref="AM127:AM130" si="310">1/(AK127^2)</f>
        <v>0.003576162988</v>
      </c>
      <c r="AN127" s="260">
        <f t="shared" ref="AN127:AN130" si="311">($AK$123/($AL$123-AL127))^(1/2)</f>
        <v>18.31619018</v>
      </c>
      <c r="AW127" s="196">
        <v>100.0</v>
      </c>
      <c r="AX127" s="151">
        <f t="shared" ref="AX127:AX130" si="312">AX19</f>
        <v>15.5962867</v>
      </c>
      <c r="AY127" s="11">
        <f t="shared" ref="AY127:AY130" si="313">AZ45</f>
        <v>16.80063753</v>
      </c>
      <c r="AZ127" s="20">
        <f t="shared" ref="AZ127:AZ130" si="314">LOG(AX127)</f>
        <v>1.19302121</v>
      </c>
      <c r="BA127" s="43">
        <f t="shared" ref="BA127:BA130" si="315">1/(AY127^2)</f>
        <v>0.00354281501</v>
      </c>
      <c r="BB127" s="260">
        <f t="shared" ref="BB127:BB130" si="316">($AY$123/($AZ$123-(LOG(AX127))))^(1/2)</f>
        <v>19.53312644</v>
      </c>
      <c r="BC127" s="151">
        <f t="shared" ref="BC127:BC130" si="317">BC19</f>
        <v>16.17918826</v>
      </c>
      <c r="BD127" s="11">
        <f t="shared" ref="BD127:BD130" si="318">BE45</f>
        <v>16.72442503</v>
      </c>
      <c r="BE127" s="20">
        <f t="shared" ref="BE127:BE130" si="319">LOG(BC127)</f>
        <v>1.208956728</v>
      </c>
      <c r="BF127" s="20">
        <f t="shared" ref="BF127:BF130" si="320">1/(BD127^2)</f>
        <v>0.003575177497</v>
      </c>
      <c r="BG127" s="260">
        <f t="shared" ref="BG127:BG130" si="321">($BD$123/($BE$123-(LOG(BC127))))^(1/2)</f>
        <v>18.77850058</v>
      </c>
      <c r="BH127" s="151">
        <f t="shared" ref="BH127:BH130" si="322">BH19</f>
        <v>11.42962003</v>
      </c>
      <c r="BI127" s="11">
        <f t="shared" ref="BI127:BI130" si="323">BJ45</f>
        <v>17.58450437</v>
      </c>
      <c r="BJ127" s="20">
        <f t="shared" ref="BJ127:BJ130" si="324">LOG(BH127)</f>
        <v>1.058031793</v>
      </c>
      <c r="BK127" s="20">
        <f t="shared" ref="BK127:BK130" si="325">1/(BI127^2)</f>
        <v>0.003233997918</v>
      </c>
      <c r="BL127" s="260" t="str">
        <f t="shared" ref="BL127:BL130" si="326">($BI$123/($BJ$123-(LOG(BH127))))^(1/2)</f>
        <v>#NUM!</v>
      </c>
    </row>
    <row r="128" ht="15.75" customHeight="1">
      <c r="A128" s="196">
        <v>200.0</v>
      </c>
      <c r="B128" s="151">
        <f t="shared" ref="B128:C128" si="285">B20</f>
        <v>17.85233161</v>
      </c>
      <c r="C128" s="11">
        <f t="shared" si="285"/>
        <v>35.96109985</v>
      </c>
      <c r="D128" s="20">
        <f t="shared" si="286"/>
        <v>1.251694945</v>
      </c>
      <c r="E128" s="43">
        <f t="shared" si="287"/>
        <v>0.0007732751753</v>
      </c>
      <c r="F128" s="260">
        <f t="shared" si="288"/>
        <v>25.67452264</v>
      </c>
      <c r="G128" s="151">
        <f t="shared" ref="G128:H128" si="289">G20</f>
        <v>28.13946459</v>
      </c>
      <c r="H128" s="11">
        <f t="shared" si="289"/>
        <v>33.9653403</v>
      </c>
      <c r="I128" s="20">
        <f t="shared" si="290"/>
        <v>1.44931583</v>
      </c>
      <c r="J128" s="20">
        <f t="shared" si="291"/>
        <v>0.0008668182763</v>
      </c>
      <c r="K128" s="260">
        <f t="shared" si="292"/>
        <v>24.24380747</v>
      </c>
      <c r="L128" s="151">
        <f t="shared" ref="L128:M128" si="293">L20</f>
        <v>101.369171</v>
      </c>
      <c r="M128" s="11">
        <f t="shared" si="293"/>
        <v>19.63547562</v>
      </c>
      <c r="N128" s="20">
        <f t="shared" si="294"/>
        <v>2.005905895</v>
      </c>
      <c r="O128" s="20">
        <f t="shared" si="295"/>
        <v>0.002593684515</v>
      </c>
      <c r="P128" s="260">
        <f t="shared" si="296"/>
        <v>7.298980363</v>
      </c>
      <c r="Y128" s="203">
        <v>200.0</v>
      </c>
      <c r="Z128" s="151">
        <f t="shared" si="297"/>
        <v>19.35276339</v>
      </c>
      <c r="AA128" s="11">
        <f t="shared" si="298"/>
        <v>35.82039089</v>
      </c>
      <c r="AB128" s="20">
        <f t="shared" si="299"/>
        <v>1.286742987</v>
      </c>
      <c r="AC128" s="43">
        <f t="shared" si="300"/>
        <v>0.0007793622364</v>
      </c>
      <c r="AD128" s="260">
        <f t="shared" si="301"/>
        <v>25.59467389</v>
      </c>
      <c r="AE128" s="151">
        <f t="shared" si="302"/>
        <v>74.36139896</v>
      </c>
      <c r="AF128" s="11">
        <f t="shared" si="303"/>
        <v>24.85595723</v>
      </c>
      <c r="AG128" s="20">
        <f t="shared" si="304"/>
        <v>1.871347552</v>
      </c>
      <c r="AH128" s="20">
        <f t="shared" si="305"/>
        <v>0.001618598055</v>
      </c>
      <c r="AI128" s="260">
        <f t="shared" si="306"/>
        <v>18.71732932</v>
      </c>
      <c r="AJ128" s="151">
        <f t="shared" si="307"/>
        <v>89.53842832</v>
      </c>
      <c r="AK128" s="11">
        <f t="shared" si="308"/>
        <v>21.92964508</v>
      </c>
      <c r="AL128" s="20">
        <f t="shared" si="309"/>
        <v>1.952009467</v>
      </c>
      <c r="AM128" s="20">
        <f t="shared" si="310"/>
        <v>0.002079394037</v>
      </c>
      <c r="AN128" s="260">
        <f t="shared" si="311"/>
        <v>17.45861835</v>
      </c>
      <c r="AW128" s="196">
        <v>200.0</v>
      </c>
      <c r="AX128" s="151">
        <f t="shared" si="312"/>
        <v>30.29835924</v>
      </c>
      <c r="AY128" s="11">
        <f t="shared" si="313"/>
        <v>33.73824424</v>
      </c>
      <c r="AZ128" s="20">
        <f t="shared" si="314"/>
        <v>1.481419111</v>
      </c>
      <c r="BA128" s="43">
        <f t="shared" si="315"/>
        <v>0.0008785268605</v>
      </c>
      <c r="BB128" s="260">
        <f t="shared" si="316"/>
        <v>23.86544673</v>
      </c>
      <c r="BC128" s="151">
        <f t="shared" si="317"/>
        <v>33.08333333</v>
      </c>
      <c r="BD128" s="11">
        <f t="shared" si="318"/>
        <v>33.25058984</v>
      </c>
      <c r="BE128" s="20">
        <f t="shared" si="319"/>
        <v>1.519609261</v>
      </c>
      <c r="BF128" s="20">
        <f t="shared" si="320"/>
        <v>0.0009044848406</v>
      </c>
      <c r="BG128" s="260">
        <f t="shared" si="321"/>
        <v>22.37716105</v>
      </c>
      <c r="BH128" s="151">
        <f t="shared" si="322"/>
        <v>117.906304</v>
      </c>
      <c r="BI128" s="11">
        <f t="shared" si="323"/>
        <v>16.28552673</v>
      </c>
      <c r="BJ128" s="20">
        <f t="shared" si="324"/>
        <v>2.071537026</v>
      </c>
      <c r="BK128" s="20">
        <f t="shared" si="325"/>
        <v>0.003770477737</v>
      </c>
      <c r="BL128" s="260">
        <f t="shared" si="326"/>
        <v>5.708873567</v>
      </c>
    </row>
    <row r="129" ht="15.75" customHeight="1">
      <c r="A129" s="196">
        <v>300.0</v>
      </c>
      <c r="B129" s="151">
        <f t="shared" ref="B129:C129" si="327">B21</f>
        <v>21.80310881</v>
      </c>
      <c r="C129" s="11">
        <f t="shared" si="327"/>
        <v>55.46900186</v>
      </c>
      <c r="D129" s="20">
        <f t="shared" si="286"/>
        <v>1.338518422</v>
      </c>
      <c r="E129" s="43">
        <f t="shared" si="287"/>
        <v>0.0003250119265</v>
      </c>
      <c r="F129" s="260">
        <f t="shared" si="288"/>
        <v>30.02903598</v>
      </c>
      <c r="G129" s="151">
        <f t="shared" ref="G129:H129" si="328">G21</f>
        <v>97.87176166</v>
      </c>
      <c r="H129" s="11">
        <f t="shared" si="328"/>
        <v>40.16974957</v>
      </c>
      <c r="I129" s="20">
        <f t="shared" si="290"/>
        <v>1.990657406</v>
      </c>
      <c r="J129" s="20">
        <f t="shared" si="291"/>
        <v>0.0006197289034</v>
      </c>
      <c r="K129" s="260">
        <f t="shared" si="292"/>
        <v>40.20361823</v>
      </c>
      <c r="L129" s="151">
        <f t="shared" ref="L129:M129" si="329">L21</f>
        <v>247.1809154</v>
      </c>
      <c r="M129" s="11">
        <f t="shared" si="329"/>
        <v>10.48557971</v>
      </c>
      <c r="N129" s="20">
        <f t="shared" si="294"/>
        <v>2.393014936</v>
      </c>
      <c r="O129" s="20">
        <f t="shared" si="295"/>
        <v>0.009095259787</v>
      </c>
      <c r="P129" s="260">
        <f t="shared" si="296"/>
        <v>5.234233197</v>
      </c>
      <c r="Y129" s="203">
        <v>300.0</v>
      </c>
      <c r="Z129" s="151">
        <f t="shared" si="297"/>
        <v>54.9097582</v>
      </c>
      <c r="AA129" s="11">
        <f t="shared" si="298"/>
        <v>48.79049298</v>
      </c>
      <c r="AB129" s="20">
        <f t="shared" si="299"/>
        <v>1.739649531</v>
      </c>
      <c r="AC129" s="43">
        <f t="shared" si="300"/>
        <v>0.0004200776613</v>
      </c>
      <c r="AD129" s="260">
        <f t="shared" si="301"/>
        <v>40.1382838</v>
      </c>
      <c r="AE129" s="151">
        <f t="shared" si="302"/>
        <v>181.9822971</v>
      </c>
      <c r="AF129" s="11">
        <f t="shared" si="303"/>
        <v>23.55216851</v>
      </c>
      <c r="AG129" s="20">
        <f t="shared" si="304"/>
        <v>2.260029143</v>
      </c>
      <c r="AH129" s="20">
        <f t="shared" si="305"/>
        <v>0.001802761191</v>
      </c>
      <c r="AI129" s="260">
        <f t="shared" si="306"/>
        <v>20.46378757</v>
      </c>
      <c r="AJ129" s="151">
        <f t="shared" si="307"/>
        <v>211.7318653</v>
      </c>
      <c r="AK129" s="11">
        <f t="shared" si="308"/>
        <v>17.52737012</v>
      </c>
      <c r="AL129" s="20">
        <f t="shared" si="309"/>
        <v>2.325786224</v>
      </c>
      <c r="AM129" s="20">
        <f t="shared" si="310"/>
        <v>0.003255116111</v>
      </c>
      <c r="AN129" s="260">
        <f t="shared" si="311"/>
        <v>17.0739117</v>
      </c>
      <c r="AW129" s="196">
        <v>300.0</v>
      </c>
      <c r="AX129" s="151">
        <f t="shared" si="312"/>
        <v>47.07297064</v>
      </c>
      <c r="AY129" s="11">
        <f t="shared" si="313"/>
        <v>50.42275114</v>
      </c>
      <c r="AZ129" s="20">
        <f t="shared" si="314"/>
        <v>1.672771606</v>
      </c>
      <c r="BA129" s="43">
        <f t="shared" si="315"/>
        <v>0.0003933208097</v>
      </c>
      <c r="BB129" s="260">
        <f t="shared" si="316"/>
        <v>29.09036064</v>
      </c>
      <c r="BC129" s="151">
        <f t="shared" si="317"/>
        <v>84.14119171</v>
      </c>
      <c r="BD129" s="11">
        <f t="shared" si="318"/>
        <v>42.97718196</v>
      </c>
      <c r="BE129" s="20">
        <f t="shared" si="319"/>
        <v>1.925008659</v>
      </c>
      <c r="BF129" s="20">
        <f t="shared" si="320"/>
        <v>0.000541407328</v>
      </c>
      <c r="BG129" s="260">
        <f t="shared" si="321"/>
        <v>33.28756441</v>
      </c>
      <c r="BH129" s="151">
        <f t="shared" si="322"/>
        <v>224.8795337</v>
      </c>
      <c r="BI129" s="11">
        <f t="shared" si="323"/>
        <v>14.93491057</v>
      </c>
      <c r="BJ129" s="20">
        <f t="shared" si="324"/>
        <v>2.351949932</v>
      </c>
      <c r="BK129" s="20">
        <f t="shared" si="325"/>
        <v>0.004483268479</v>
      </c>
      <c r="BL129" s="260">
        <f t="shared" si="326"/>
        <v>4.857786464</v>
      </c>
    </row>
    <row r="130" ht="15.75" customHeight="1">
      <c r="A130" s="212">
        <v>400.0</v>
      </c>
      <c r="B130" s="213">
        <f t="shared" ref="B130:C130" si="330">B22</f>
        <v>43.69430052</v>
      </c>
      <c r="C130" s="214">
        <f t="shared" si="330"/>
        <v>70.2810306</v>
      </c>
      <c r="D130" s="323">
        <f t="shared" si="286"/>
        <v>1.640424791</v>
      </c>
      <c r="E130" s="111">
        <f t="shared" si="287"/>
        <v>0.0002024527859</v>
      </c>
      <c r="F130" s="267">
        <v>101.0</v>
      </c>
      <c r="G130" s="213">
        <f t="shared" ref="G130:H130" si="331">G22</f>
        <v>173.1740069</v>
      </c>
      <c r="H130" s="214">
        <f t="shared" si="331"/>
        <v>44.88641406</v>
      </c>
      <c r="I130" s="323">
        <f t="shared" si="290"/>
        <v>2.238482706</v>
      </c>
      <c r="J130" s="323">
        <f t="shared" si="291"/>
        <v>0.0004963296011</v>
      </c>
      <c r="K130" s="267">
        <f t="shared" si="292"/>
        <v>90.15428837</v>
      </c>
      <c r="L130" s="213">
        <f t="shared" ref="L130:M130" si="332">L22</f>
        <v>381.8743523</v>
      </c>
      <c r="M130" s="214">
        <f t="shared" si="332"/>
        <v>3.621508026</v>
      </c>
      <c r="N130" s="323">
        <f t="shared" si="294"/>
        <v>2.581920491</v>
      </c>
      <c r="O130" s="323">
        <f t="shared" si="295"/>
        <v>0.07624670775</v>
      </c>
      <c r="P130" s="267">
        <f t="shared" si="296"/>
        <v>4.706105985</v>
      </c>
      <c r="Y130" s="216">
        <v>400.0</v>
      </c>
      <c r="Z130" s="213">
        <f t="shared" si="297"/>
        <v>131.5289292</v>
      </c>
      <c r="AA130" s="214">
        <f t="shared" si="298"/>
        <v>53.17745323</v>
      </c>
      <c r="AB130" s="323">
        <f t="shared" si="299"/>
        <v>2.119021284</v>
      </c>
      <c r="AC130" s="111">
        <f t="shared" si="300"/>
        <v>0.0003536266049</v>
      </c>
      <c r="AD130" s="267" t="str">
        <f t="shared" si="301"/>
        <v>#NUM!</v>
      </c>
      <c r="AE130" s="213">
        <f t="shared" si="302"/>
        <v>308.8821244</v>
      </c>
      <c r="AF130" s="214">
        <f t="shared" si="303"/>
        <v>17.9981963</v>
      </c>
      <c r="AG130" s="323">
        <f t="shared" si="304"/>
        <v>2.489792776</v>
      </c>
      <c r="AH130" s="323">
        <f t="shared" si="305"/>
        <v>0.0030870384</v>
      </c>
      <c r="AI130" s="267">
        <f t="shared" si="306"/>
        <v>21.7584261</v>
      </c>
      <c r="AJ130" s="213">
        <f t="shared" si="307"/>
        <v>325.3005181</v>
      </c>
      <c r="AK130" s="214">
        <f t="shared" si="308"/>
        <v>14.89839885</v>
      </c>
      <c r="AL130" s="323">
        <f t="shared" si="309"/>
        <v>2.512284755</v>
      </c>
      <c r="AM130" s="323">
        <f t="shared" si="310"/>
        <v>0.004505269829</v>
      </c>
      <c r="AN130" s="267">
        <f t="shared" si="311"/>
        <v>16.89123185</v>
      </c>
      <c r="AW130" s="212">
        <v>400.0</v>
      </c>
      <c r="AX130" s="213">
        <f t="shared" si="312"/>
        <v>137.3579447</v>
      </c>
      <c r="AY130" s="214">
        <f t="shared" si="313"/>
        <v>52.38807784</v>
      </c>
      <c r="AZ130" s="323">
        <f t="shared" si="314"/>
        <v>2.137853784</v>
      </c>
      <c r="BA130" s="111">
        <f t="shared" si="315"/>
        <v>0.0003643636733</v>
      </c>
      <c r="BB130" s="267" t="str">
        <f t="shared" si="316"/>
        <v>#NUM!</v>
      </c>
      <c r="BC130" s="213">
        <f t="shared" si="317"/>
        <v>171.511658</v>
      </c>
      <c r="BD130" s="214">
        <f t="shared" si="318"/>
        <v>45.56161814</v>
      </c>
      <c r="BE130" s="323">
        <f t="shared" si="319"/>
        <v>2.234293645</v>
      </c>
      <c r="BF130" s="323">
        <f t="shared" si="320"/>
        <v>0.0004817278118</v>
      </c>
      <c r="BG130" s="267">
        <f t="shared" si="321"/>
        <v>121.7999172</v>
      </c>
      <c r="BH130" s="213">
        <f t="shared" si="322"/>
        <v>384.3570812</v>
      </c>
      <c r="BI130" s="214">
        <f t="shared" si="323"/>
        <v>3.130591643</v>
      </c>
      <c r="BJ130" s="323">
        <f t="shared" si="324"/>
        <v>2.584734887</v>
      </c>
      <c r="BK130" s="323">
        <f t="shared" si="325"/>
        <v>0.1020345273</v>
      </c>
      <c r="BL130" s="267">
        <f t="shared" si="326"/>
        <v>4.381775772</v>
      </c>
    </row>
    <row r="131" ht="15.75" customHeight="1">
      <c r="A131" s="5"/>
      <c r="B131" s="141"/>
      <c r="C131" s="141"/>
      <c r="D131" s="155"/>
      <c r="E131" s="155"/>
      <c r="G131" s="141"/>
      <c r="H131" s="141"/>
      <c r="I131" s="155"/>
      <c r="J131" s="155"/>
      <c r="L131" s="141"/>
      <c r="M131" s="141"/>
      <c r="N131" s="155"/>
      <c r="O131" s="155"/>
      <c r="Y131" s="5"/>
      <c r="Z131" s="141"/>
      <c r="AA131" s="141"/>
      <c r="AB131" s="155"/>
      <c r="AC131" s="155"/>
      <c r="AE131" s="141"/>
      <c r="AF131" s="141"/>
      <c r="AG131" s="155"/>
      <c r="AH131" s="155"/>
      <c r="AJ131" s="141"/>
      <c r="AL131" s="155"/>
      <c r="AM131" s="155"/>
      <c r="AW131" s="5"/>
      <c r="AX131" s="141"/>
      <c r="AY131" s="141"/>
      <c r="AZ131" s="155"/>
      <c r="BA131" s="155"/>
      <c r="BC131" s="141"/>
      <c r="BD131" s="141"/>
      <c r="BE131" s="155"/>
      <c r="BF131" s="155"/>
      <c r="BH131" s="141"/>
      <c r="BI131" s="141"/>
      <c r="BJ131" s="155"/>
      <c r="BK131" s="155"/>
    </row>
    <row r="132" ht="15.75" customHeight="1">
      <c r="A132" s="5"/>
      <c r="B132" s="141"/>
      <c r="C132" s="141"/>
      <c r="D132" s="155"/>
      <c r="E132" s="155"/>
      <c r="G132" s="141"/>
      <c r="H132" s="141"/>
      <c r="I132" s="155"/>
      <c r="J132" s="155"/>
      <c r="L132" s="141"/>
      <c r="M132" s="141"/>
      <c r="N132" s="155"/>
      <c r="O132" s="155"/>
      <c r="Y132" s="5"/>
      <c r="Z132" s="141"/>
      <c r="AA132" s="141"/>
      <c r="AB132" s="155"/>
      <c r="AC132" s="155"/>
      <c r="AE132" s="141"/>
      <c r="AF132" s="141"/>
      <c r="AG132" s="155"/>
      <c r="AH132" s="155"/>
      <c r="AJ132" s="141"/>
      <c r="AL132" s="155"/>
      <c r="AM132" s="155"/>
      <c r="AW132" s="5"/>
      <c r="AX132" s="141"/>
      <c r="AY132" s="141"/>
      <c r="AZ132" s="155"/>
      <c r="BA132" s="155"/>
      <c r="BC132" s="141"/>
      <c r="BD132" s="141"/>
      <c r="BE132" s="155"/>
      <c r="BF132" s="155"/>
      <c r="BH132" s="141"/>
      <c r="BI132" s="141"/>
      <c r="BJ132" s="155"/>
      <c r="BK132" s="155"/>
    </row>
    <row r="133" ht="15.75" customHeight="1">
      <c r="B133" s="141"/>
      <c r="C133" s="141"/>
    </row>
    <row r="134" ht="15.75" customHeight="1">
      <c r="B134" s="141"/>
      <c r="C134" s="141"/>
    </row>
    <row r="135" ht="15.75" hidden="1" customHeight="1">
      <c r="B135" s="141" t="str">
        <f t="shared" ref="B135:B145" si="333">LN(B131)</f>
        <v>#NUM!</v>
      </c>
    </row>
    <row r="136" ht="15.75" hidden="1" customHeight="1">
      <c r="A136" s="147"/>
      <c r="B136" s="141" t="str">
        <f t="shared" si="333"/>
        <v>#NUM!</v>
      </c>
      <c r="C136" s="187" t="s">
        <v>955</v>
      </c>
      <c r="D136" s="188"/>
      <c r="E136" s="188"/>
      <c r="F136" s="188"/>
      <c r="G136" s="188"/>
      <c r="H136" s="188"/>
      <c r="I136" s="188"/>
      <c r="J136" s="188"/>
      <c r="K136" s="189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87" t="s">
        <v>956</v>
      </c>
      <c r="AB136" s="188"/>
      <c r="AC136" s="188"/>
      <c r="AD136" s="188"/>
      <c r="AE136" s="188"/>
      <c r="AF136" s="188"/>
      <c r="AG136" s="188"/>
      <c r="AH136" s="188"/>
      <c r="AI136" s="189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87" t="s">
        <v>957</v>
      </c>
      <c r="AZ136" s="188"/>
      <c r="BA136" s="188"/>
      <c r="BB136" s="188"/>
      <c r="BC136" s="188"/>
      <c r="BD136" s="188"/>
      <c r="BE136" s="188"/>
      <c r="BF136" s="188"/>
      <c r="BG136" s="189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</row>
    <row r="137" ht="15.75" hidden="1" customHeight="1">
      <c r="A137" s="147"/>
      <c r="B137" s="141" t="str">
        <f t="shared" si="333"/>
        <v>#NUM!</v>
      </c>
      <c r="C137" s="315" t="s">
        <v>229</v>
      </c>
      <c r="D137" s="314"/>
      <c r="E137" s="234"/>
      <c r="F137" s="315" t="s">
        <v>230</v>
      </c>
      <c r="G137" s="314"/>
      <c r="H137" s="234"/>
      <c r="I137" s="315" t="s">
        <v>231</v>
      </c>
      <c r="J137" s="314"/>
      <c r="K137" s="234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315" t="s">
        <v>229</v>
      </c>
      <c r="AB137" s="314"/>
      <c r="AC137" s="378"/>
      <c r="AD137" s="315" t="s">
        <v>230</v>
      </c>
      <c r="AE137" s="314"/>
      <c r="AF137" s="234"/>
      <c r="AG137" s="315" t="s">
        <v>231</v>
      </c>
      <c r="AH137" s="314"/>
      <c r="AI137" s="234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315" t="s">
        <v>229</v>
      </c>
      <c r="AZ137" s="314"/>
      <c r="BA137" s="234"/>
      <c r="BB137" s="315" t="s">
        <v>230</v>
      </c>
      <c r="BC137" s="314"/>
      <c r="BD137" s="234"/>
      <c r="BE137" s="315" t="s">
        <v>231</v>
      </c>
      <c r="BF137" s="314"/>
      <c r="BG137" s="234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</row>
    <row r="138" ht="15.75" hidden="1" customHeight="1">
      <c r="B138" s="141" t="str">
        <f t="shared" si="333"/>
        <v>#NUM!</v>
      </c>
      <c r="C138" s="317" t="s">
        <v>233</v>
      </c>
      <c r="D138" s="50" t="s">
        <v>643</v>
      </c>
      <c r="E138" s="318" t="s">
        <v>645</v>
      </c>
      <c r="F138" s="317" t="s">
        <v>233</v>
      </c>
      <c r="G138" s="50" t="s">
        <v>643</v>
      </c>
      <c r="H138" s="318" t="s">
        <v>645</v>
      </c>
      <c r="I138" s="317" t="s">
        <v>233</v>
      </c>
      <c r="J138" s="50" t="s">
        <v>643</v>
      </c>
      <c r="K138" s="318" t="s">
        <v>645</v>
      </c>
      <c r="Z138" s="379" t="s">
        <v>168</v>
      </c>
      <c r="AA138" s="317" t="s">
        <v>233</v>
      </c>
      <c r="AB138" s="50" t="s">
        <v>643</v>
      </c>
      <c r="AC138" s="49" t="s">
        <v>645</v>
      </c>
      <c r="AD138" s="317" t="s">
        <v>233</v>
      </c>
      <c r="AE138" s="50" t="s">
        <v>643</v>
      </c>
      <c r="AF138" s="318" t="s">
        <v>645</v>
      </c>
      <c r="AG138" s="317" t="s">
        <v>233</v>
      </c>
      <c r="AH138" s="50" t="s">
        <v>643</v>
      </c>
      <c r="AI138" s="380" t="s">
        <v>645</v>
      </c>
      <c r="AX138" s="258" t="s">
        <v>168</v>
      </c>
      <c r="AY138" s="317" t="s">
        <v>233</v>
      </c>
      <c r="AZ138" s="50" t="s">
        <v>643</v>
      </c>
      <c r="BA138" s="318" t="s">
        <v>645</v>
      </c>
      <c r="BB138" s="317" t="s">
        <v>233</v>
      </c>
      <c r="BC138" s="50" t="s">
        <v>643</v>
      </c>
      <c r="BD138" s="318" t="s">
        <v>645</v>
      </c>
      <c r="BE138" s="317" t="s">
        <v>233</v>
      </c>
      <c r="BF138" s="50" t="s">
        <v>643</v>
      </c>
      <c r="BG138" s="318" t="s">
        <v>645</v>
      </c>
    </row>
    <row r="139" ht="15.75" hidden="1" customHeight="1">
      <c r="B139" s="141" t="str">
        <f t="shared" si="333"/>
        <v>#NUM!</v>
      </c>
      <c r="C139" s="320">
        <v>8.448130922589387</v>
      </c>
      <c r="D139" s="20" t="str">
        <f t="shared" ref="D139:D143" si="334">LOG($B139)</f>
        <v>#NUM!</v>
      </c>
      <c r="E139" s="347" t="str">
        <f t="shared" ref="E139:E140" si="335">LOG(C139/1-C139)</f>
        <v>#NUM!</v>
      </c>
      <c r="F139" s="320">
        <v>5.050890008015365</v>
      </c>
      <c r="G139" s="20" t="str">
        <f t="shared" ref="G139:G143" si="336">LOG($B139)</f>
        <v>#NUM!</v>
      </c>
      <c r="H139" s="347" t="str">
        <f t="shared" ref="H139:H143" si="337">LOG(F139/(1-F139))</f>
        <v>#NUM!</v>
      </c>
      <c r="I139" s="320">
        <v>6.994899069379541</v>
      </c>
      <c r="J139" s="20" t="str">
        <f t="shared" ref="J139:J143" si="338">LOG($B139)</f>
        <v>#NUM!</v>
      </c>
      <c r="K139" s="347" t="str">
        <f t="shared" ref="K139:K143" si="339">LOG(I139/(1-I139))</f>
        <v>#NUM!</v>
      </c>
      <c r="Z139" s="382">
        <v>54.32258064516128</v>
      </c>
      <c r="AA139" s="320">
        <v>6.601273545336687</v>
      </c>
      <c r="AB139" s="20">
        <f t="shared" ref="AB139:AB143" si="340">LOG($Z139)</f>
        <v>1.734980393</v>
      </c>
      <c r="AC139" s="383" t="str">
        <f t="shared" ref="AC139:AC143" si="341">LOG(AA139/(1-AA139))</f>
        <v>#NUM!</v>
      </c>
      <c r="AD139" s="20">
        <v>6.197318057836213</v>
      </c>
      <c r="AE139" s="20">
        <f t="shared" ref="AE139:AE143" si="342">LOG($Z139)</f>
        <v>1.734980393</v>
      </c>
      <c r="AF139" s="347" t="str">
        <f t="shared" ref="AF139:AF143" si="343">LOG(AD139/(1-AD139))</f>
        <v>#NUM!</v>
      </c>
      <c r="AG139" s="20">
        <v>5.075859199580501</v>
      </c>
      <c r="AH139" s="20">
        <f t="shared" ref="AH139:AH143" si="344">LOG($Z139)</f>
        <v>1.734980393</v>
      </c>
      <c r="AI139" s="347" t="str">
        <f t="shared" ref="AI139:AI143" si="345">LOG(AG139/(1-AG139))</f>
        <v>#NUM!</v>
      </c>
      <c r="AX139" s="382">
        <v>57.189964157706086</v>
      </c>
      <c r="AY139" s="320">
        <v>7.230123505633468</v>
      </c>
      <c r="AZ139" s="20">
        <f t="shared" ref="AZ139:AZ143" si="346">LOG($AX139)</f>
        <v>1.757319824</v>
      </c>
      <c r="BA139" s="347" t="str">
        <f t="shared" ref="BA139:BA143" si="347">LOG(AY139/(1-AY139))</f>
        <v>#NUM!</v>
      </c>
      <c r="BB139" s="320">
        <v>6.326509740684451</v>
      </c>
      <c r="BC139" s="20">
        <f t="shared" ref="BC139:BC143" si="348">LOG($AX139)</f>
        <v>1.757319824</v>
      </c>
      <c r="BD139" s="347" t="str">
        <f t="shared" ref="BD139:BD143" si="349">LOG(BB139/(1-BB139))</f>
        <v>#NUM!</v>
      </c>
      <c r="BE139" s="320">
        <v>6.836149120802889</v>
      </c>
      <c r="BF139" s="20">
        <f t="shared" ref="BF139:BF143" si="350">LOG($AX139)</f>
        <v>1.757319824</v>
      </c>
      <c r="BG139" s="347" t="str">
        <f t="shared" ref="BG139:BG143" si="351">LOG(BE139/(1-BE139))</f>
        <v>#NUM!</v>
      </c>
    </row>
    <row r="140" ht="15.75" hidden="1" customHeight="1">
      <c r="B140" s="141" t="str">
        <f t="shared" si="333"/>
        <v>#NUM!</v>
      </c>
      <c r="C140" s="320">
        <v>13.04230785167831</v>
      </c>
      <c r="D140" s="20" t="str">
        <f t="shared" si="334"/>
        <v>#NUM!</v>
      </c>
      <c r="E140" s="347" t="str">
        <f t="shared" si="335"/>
        <v>#NUM!</v>
      </c>
      <c r="F140" s="320">
        <v>5.612546856856714</v>
      </c>
      <c r="G140" s="20" t="str">
        <f t="shared" si="336"/>
        <v>#NUM!</v>
      </c>
      <c r="H140" s="347" t="str">
        <f t="shared" si="337"/>
        <v>#NUM!</v>
      </c>
      <c r="I140" s="320">
        <v>8.833198692120565</v>
      </c>
      <c r="J140" s="20" t="str">
        <f t="shared" si="338"/>
        <v>#NUM!</v>
      </c>
      <c r="K140" s="347" t="str">
        <f t="shared" si="339"/>
        <v>#NUM!</v>
      </c>
      <c r="Z140" s="382">
        <v>86.2222222222222</v>
      </c>
      <c r="AA140" s="320">
        <v>10.772858799528137</v>
      </c>
      <c r="AB140" s="20">
        <f t="shared" si="340"/>
        <v>1.935619212</v>
      </c>
      <c r="AC140" s="383" t="str">
        <f t="shared" si="341"/>
        <v>#NUM!</v>
      </c>
      <c r="AD140" s="20">
        <v>9.218974999260887</v>
      </c>
      <c r="AE140" s="20">
        <f t="shared" si="342"/>
        <v>1.935619212</v>
      </c>
      <c r="AF140" s="347" t="str">
        <f t="shared" si="343"/>
        <v>#NUM!</v>
      </c>
      <c r="AG140" s="20">
        <v>7.046960748799184</v>
      </c>
      <c r="AH140" s="20">
        <f t="shared" si="344"/>
        <v>1.935619212</v>
      </c>
      <c r="AI140" s="347" t="str">
        <f t="shared" si="345"/>
        <v>#NUM!</v>
      </c>
      <c r="AX140" s="382">
        <v>85.86379928315411</v>
      </c>
      <c r="AY140" s="320">
        <v>11.019271082905224</v>
      </c>
      <c r="AZ140" s="20">
        <f t="shared" si="346"/>
        <v>1.933810101</v>
      </c>
      <c r="BA140" s="347" t="str">
        <f t="shared" si="347"/>
        <v>#NUM!</v>
      </c>
      <c r="BB140" s="320">
        <v>8.482348979232412</v>
      </c>
      <c r="BC140" s="20">
        <f t="shared" si="348"/>
        <v>1.933810101</v>
      </c>
      <c r="BD140" s="347" t="str">
        <f t="shared" si="349"/>
        <v>#NUM!</v>
      </c>
      <c r="BE140" s="320">
        <v>11.249502421847936</v>
      </c>
      <c r="BF140" s="20">
        <f t="shared" si="350"/>
        <v>1.933810101</v>
      </c>
      <c r="BG140" s="347" t="str">
        <f t="shared" si="351"/>
        <v>#NUM!</v>
      </c>
    </row>
    <row r="141" ht="15.75" hidden="1" customHeight="1">
      <c r="B141" s="141" t="str">
        <f t="shared" si="333"/>
        <v>#NUM!</v>
      </c>
      <c r="C141" s="320">
        <v>14.567819227317436</v>
      </c>
      <c r="D141" s="20" t="str">
        <f t="shared" si="334"/>
        <v>#NUM!</v>
      </c>
      <c r="E141" s="347" t="str">
        <f t="shared" ref="E141:E143" si="352">LOG(C141/(1-C141))</f>
        <v>#NUM!</v>
      </c>
      <c r="F141" s="320">
        <v>7.0</v>
      </c>
      <c r="G141" s="20" t="str">
        <f t="shared" si="336"/>
        <v>#NUM!</v>
      </c>
      <c r="H141" s="347" t="str">
        <f t="shared" si="337"/>
        <v>#NUM!</v>
      </c>
      <c r="I141" s="320">
        <v>10.49759050607947</v>
      </c>
      <c r="J141" s="20" t="str">
        <f t="shared" si="338"/>
        <v>#NUM!</v>
      </c>
      <c r="K141" s="347" t="str">
        <f t="shared" si="339"/>
        <v>#NUM!</v>
      </c>
      <c r="Z141" s="382">
        <v>111.31182795698923</v>
      </c>
      <c r="AA141" s="320">
        <v>13.901898408523735</v>
      </c>
      <c r="AB141" s="20">
        <f t="shared" si="340"/>
        <v>2.046541315</v>
      </c>
      <c r="AC141" s="383" t="str">
        <f t="shared" si="341"/>
        <v>#NUM!</v>
      </c>
      <c r="AD141" s="20">
        <v>11.206051440959174</v>
      </c>
      <c r="AE141" s="20">
        <f t="shared" si="342"/>
        <v>2.046541315</v>
      </c>
      <c r="AF141" s="347" t="str">
        <f t="shared" si="343"/>
        <v>#NUM!</v>
      </c>
      <c r="AG141" s="20">
        <v>7.793846654304835</v>
      </c>
      <c r="AH141" s="20">
        <f t="shared" si="344"/>
        <v>2.046541315</v>
      </c>
      <c r="AI141" s="347" t="str">
        <f t="shared" si="345"/>
        <v>#NUM!</v>
      </c>
      <c r="AX141" s="382">
        <v>110.23655913978493</v>
      </c>
      <c r="AY141" s="320">
        <v>14.143820326926342</v>
      </c>
      <c r="AZ141" s="20">
        <f t="shared" si="346"/>
        <v>2.042325649</v>
      </c>
      <c r="BA141" s="347" t="str">
        <f t="shared" si="347"/>
        <v>#NUM!</v>
      </c>
      <c r="BB141" s="320">
        <v>10.459936833883226</v>
      </c>
      <c r="BC141" s="20">
        <f t="shared" si="348"/>
        <v>2.042325649</v>
      </c>
      <c r="BD141" s="347" t="str">
        <f t="shared" si="349"/>
        <v>#NUM!</v>
      </c>
      <c r="BE141" s="320">
        <v>12.43190091644241</v>
      </c>
      <c r="BF141" s="20">
        <f t="shared" si="350"/>
        <v>2.042325649</v>
      </c>
      <c r="BG141" s="347" t="str">
        <f t="shared" si="351"/>
        <v>#NUM!</v>
      </c>
    </row>
    <row r="142" ht="15.75" hidden="1" customHeight="1">
      <c r="B142" s="141" t="str">
        <f t="shared" si="333"/>
        <v>#NUM!</v>
      </c>
      <c r="C142" s="320">
        <v>19.079139057562784</v>
      </c>
      <c r="D142" s="20" t="str">
        <f t="shared" si="334"/>
        <v>#NUM!</v>
      </c>
      <c r="E142" s="347" t="str">
        <f t="shared" si="352"/>
        <v>#NUM!</v>
      </c>
      <c r="F142" s="320">
        <v>7.168784841064191</v>
      </c>
      <c r="G142" s="20" t="str">
        <f t="shared" si="336"/>
        <v>#NUM!</v>
      </c>
      <c r="H142" s="347" t="str">
        <f t="shared" si="337"/>
        <v>#NUM!</v>
      </c>
      <c r="I142" s="320">
        <v>10.738208905573646</v>
      </c>
      <c r="J142" s="20" t="str">
        <f t="shared" si="338"/>
        <v>#NUM!</v>
      </c>
      <c r="K142" s="347" t="str">
        <f t="shared" si="339"/>
        <v>#NUM!</v>
      </c>
      <c r="Z142" s="382">
        <v>143.56989247311827</v>
      </c>
      <c r="AA142" s="320">
        <v>18.301508975302504</v>
      </c>
      <c r="AB142" s="20">
        <f t="shared" si="340"/>
        <v>2.157063375</v>
      </c>
      <c r="AC142" s="383" t="str">
        <f t="shared" si="341"/>
        <v>#NUM!</v>
      </c>
      <c r="AD142" s="20">
        <v>12.400822397213869</v>
      </c>
      <c r="AE142" s="20">
        <f t="shared" si="342"/>
        <v>2.157063375</v>
      </c>
      <c r="AF142" s="347" t="str">
        <f t="shared" si="343"/>
        <v>#NUM!</v>
      </c>
      <c r="AG142" s="20">
        <v>8.901544665920543</v>
      </c>
      <c r="AH142" s="20">
        <f t="shared" si="344"/>
        <v>2.157063375</v>
      </c>
      <c r="AI142" s="347" t="str">
        <f t="shared" si="345"/>
        <v>#NUM!</v>
      </c>
      <c r="AX142" s="382">
        <v>154.6810035842294</v>
      </c>
      <c r="AY142" s="320">
        <v>19.50992466132772</v>
      </c>
      <c r="AZ142" s="20">
        <f t="shared" si="346"/>
        <v>2.189436981</v>
      </c>
      <c r="BA142" s="347" t="str">
        <f t="shared" si="347"/>
        <v>#NUM!</v>
      </c>
      <c r="BB142" s="320">
        <v>10.991758928743177</v>
      </c>
      <c r="BC142" s="20">
        <f t="shared" si="348"/>
        <v>2.189436981</v>
      </c>
      <c r="BD142" s="347" t="str">
        <f t="shared" si="349"/>
        <v>#NUM!</v>
      </c>
      <c r="BE142" s="320">
        <v>13.516967690823842</v>
      </c>
      <c r="BF142" s="20">
        <f t="shared" si="350"/>
        <v>2.189436981</v>
      </c>
      <c r="BG142" s="347" t="str">
        <f t="shared" si="351"/>
        <v>#NUM!</v>
      </c>
    </row>
    <row r="143" ht="15.75" hidden="1" customHeight="1">
      <c r="B143" s="141" t="str">
        <f t="shared" si="333"/>
        <v>#NUM!</v>
      </c>
      <c r="C143" s="322">
        <v>19.867549668874176</v>
      </c>
      <c r="D143" s="323" t="str">
        <f t="shared" si="334"/>
        <v>#NUM!</v>
      </c>
      <c r="E143" s="348" t="str">
        <f t="shared" si="352"/>
        <v>#NUM!</v>
      </c>
      <c r="F143" s="322">
        <v>7.8591861771302955</v>
      </c>
      <c r="G143" s="323" t="str">
        <f t="shared" si="336"/>
        <v>#NUM!</v>
      </c>
      <c r="H143" s="348" t="str">
        <f t="shared" si="337"/>
        <v>#NUM!</v>
      </c>
      <c r="I143" s="322">
        <v>10.124392993091213</v>
      </c>
      <c r="J143" s="323" t="str">
        <f t="shared" si="338"/>
        <v>#NUM!</v>
      </c>
      <c r="K143" s="348" t="str">
        <f t="shared" si="339"/>
        <v>#NUM!</v>
      </c>
      <c r="Z143" s="385">
        <v>211.31182795698925</v>
      </c>
      <c r="AA143" s="322">
        <v>24.516421256319177</v>
      </c>
      <c r="AB143" s="323">
        <f t="shared" si="340"/>
        <v>2.324923807</v>
      </c>
      <c r="AC143" s="386" t="str">
        <f t="shared" si="341"/>
        <v>#NUM!</v>
      </c>
      <c r="AD143" s="323">
        <v>14.34657601273193</v>
      </c>
      <c r="AE143" s="323">
        <f t="shared" si="342"/>
        <v>2.324923807</v>
      </c>
      <c r="AF143" s="348" t="str">
        <f t="shared" si="343"/>
        <v>#NUM!</v>
      </c>
      <c r="AG143" s="323">
        <v>10.193206958112519</v>
      </c>
      <c r="AH143" s="323">
        <f t="shared" si="344"/>
        <v>2.324923807</v>
      </c>
      <c r="AI143" s="348" t="str">
        <f t="shared" si="345"/>
        <v>#NUM!</v>
      </c>
      <c r="AX143" s="385">
        <v>289.44802867383515</v>
      </c>
      <c r="AY143" s="322">
        <v>26.893177852477017</v>
      </c>
      <c r="AZ143" s="323">
        <f t="shared" si="346"/>
        <v>2.461570596</v>
      </c>
      <c r="BA143" s="348" t="str">
        <f t="shared" si="347"/>
        <v>#NUM!</v>
      </c>
      <c r="BB143" s="322">
        <v>9.507213684410061</v>
      </c>
      <c r="BC143" s="323">
        <f t="shared" si="348"/>
        <v>2.461570596</v>
      </c>
      <c r="BD143" s="348" t="str">
        <f t="shared" si="349"/>
        <v>#NUM!</v>
      </c>
      <c r="BE143" s="322">
        <v>16.2467013926002</v>
      </c>
      <c r="BF143" s="323">
        <f t="shared" si="350"/>
        <v>2.461570596</v>
      </c>
      <c r="BG143" s="348" t="str">
        <f t="shared" si="351"/>
        <v>#NUM!</v>
      </c>
    </row>
    <row r="144" ht="15.75" hidden="1" customHeight="1">
      <c r="B144" s="141" t="str">
        <f t="shared" si="333"/>
        <v>#NUM!</v>
      </c>
    </row>
    <row r="145" ht="15.75" hidden="1" customHeight="1">
      <c r="B145" s="141" t="str">
        <f t="shared" si="333"/>
        <v>#NUM!</v>
      </c>
    </row>
    <row r="146" ht="15.75" customHeight="1">
      <c r="B146" s="5"/>
    </row>
    <row r="147" ht="15.75" customHeight="1">
      <c r="B147" s="5"/>
    </row>
    <row r="148" ht="15.75" customHeight="1"/>
    <row r="149" ht="15.75" customHeight="1"/>
    <row r="150" ht="15.75" customHeight="1">
      <c r="B150" s="166" t="s">
        <v>958</v>
      </c>
      <c r="C150" s="167"/>
      <c r="D150" s="167" t="s">
        <v>660</v>
      </c>
      <c r="E150" s="168" t="s">
        <v>959</v>
      </c>
      <c r="G150" s="166" t="s">
        <v>960</v>
      </c>
      <c r="H150" s="167"/>
      <c r="I150" s="167" t="s">
        <v>660</v>
      </c>
      <c r="J150" s="168" t="s">
        <v>961</v>
      </c>
      <c r="L150" s="166" t="s">
        <v>962</v>
      </c>
      <c r="M150" s="167"/>
      <c r="N150" s="167" t="s">
        <v>660</v>
      </c>
      <c r="O150" s="168" t="s">
        <v>963</v>
      </c>
      <c r="Z150" s="166" t="s">
        <v>964</v>
      </c>
      <c r="AA150" s="167"/>
      <c r="AB150" s="167" t="s">
        <v>660</v>
      </c>
      <c r="AC150" s="168" t="s">
        <v>965</v>
      </c>
      <c r="AD150" s="166" t="s">
        <v>966</v>
      </c>
      <c r="AE150" s="167"/>
      <c r="AF150" s="167" t="s">
        <v>660</v>
      </c>
      <c r="AG150" s="168" t="s">
        <v>967</v>
      </c>
      <c r="AH150" s="166" t="s">
        <v>968</v>
      </c>
      <c r="AI150" s="167"/>
      <c r="AJ150" s="167" t="s">
        <v>660</v>
      </c>
      <c r="AK150" s="168" t="s">
        <v>969</v>
      </c>
      <c r="AX150" s="166" t="s">
        <v>970</v>
      </c>
      <c r="AY150" s="167"/>
      <c r="AZ150" s="167" t="s">
        <v>660</v>
      </c>
      <c r="BA150" s="168" t="s">
        <v>971</v>
      </c>
      <c r="BB150" s="166" t="s">
        <v>972</v>
      </c>
      <c r="BC150" s="167"/>
      <c r="BD150" s="167" t="s">
        <v>660</v>
      </c>
      <c r="BE150" s="168" t="s">
        <v>973</v>
      </c>
      <c r="BF150" s="166" t="s">
        <v>974</v>
      </c>
      <c r="BG150" s="167"/>
      <c r="BH150" s="167" t="s">
        <v>660</v>
      </c>
      <c r="BI150" s="168" t="s">
        <v>975</v>
      </c>
    </row>
    <row r="151" ht="15.75" customHeight="1">
      <c r="B151" s="238">
        <f>EXP(-(-2.5669))</f>
        <v>13.0253831</v>
      </c>
      <c r="C151" s="391"/>
      <c r="D151" s="232"/>
      <c r="E151" s="235"/>
      <c r="F151" s="61"/>
      <c r="G151" s="230">
        <f>EXP(-(-1.0129))</f>
        <v>2.753574814</v>
      </c>
      <c r="H151" s="391"/>
      <c r="I151" s="232"/>
      <c r="J151" s="235"/>
      <c r="K151" s="61"/>
      <c r="L151" s="230">
        <f>EXP(0.1041)</f>
        <v>1.109711421</v>
      </c>
      <c r="M151" s="391"/>
      <c r="N151" s="232"/>
      <c r="O151" s="235"/>
      <c r="Z151" s="349">
        <f>EXP(-(-1.8396))</f>
        <v>6.294020149</v>
      </c>
      <c r="AA151" s="111"/>
      <c r="AB151" s="111"/>
      <c r="AC151" s="127"/>
      <c r="AD151" s="349">
        <f>EXP(-(-0.9106))</f>
        <v>2.485813574</v>
      </c>
      <c r="AE151" s="111"/>
      <c r="AF151" s="111"/>
      <c r="AG151" s="127"/>
      <c r="AH151" s="349">
        <f>EXP(-(-0.1321))</f>
        <v>1.141222436</v>
      </c>
      <c r="AI151" s="111"/>
      <c r="AJ151" s="111"/>
      <c r="AK151" s="127"/>
      <c r="AX151" s="349">
        <f>EXP(-(-2.0229))</f>
        <v>7.560217805</v>
      </c>
      <c r="AY151" s="111"/>
      <c r="AZ151" s="111"/>
      <c r="BA151" s="127"/>
      <c r="BB151" s="349">
        <f>EXP(-(-1.4974))</f>
        <v>4.470051814</v>
      </c>
      <c r="BC151" s="111"/>
      <c r="BD151" s="111"/>
      <c r="BE151" s="127"/>
      <c r="BF151" s="349">
        <f>EXP(-(-1.4251))</f>
        <v>4.158273649</v>
      </c>
      <c r="BG151" s="111"/>
      <c r="BH151" s="111"/>
      <c r="BI151" s="127"/>
    </row>
    <row r="152" ht="15.75" customHeight="1">
      <c r="A152" s="147"/>
      <c r="B152" s="392" t="s">
        <v>678</v>
      </c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93"/>
      <c r="Q152" s="147"/>
      <c r="R152" s="147"/>
      <c r="S152" s="147"/>
      <c r="T152" s="147"/>
      <c r="U152" s="147"/>
      <c r="V152" s="147"/>
      <c r="W152" s="147"/>
      <c r="X152" s="147"/>
      <c r="Y152" s="147"/>
      <c r="Z152" s="394" t="s">
        <v>976</v>
      </c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9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394" t="s">
        <v>977</v>
      </c>
      <c r="AY152" s="188"/>
      <c r="AZ152" s="188"/>
      <c r="BA152" s="188"/>
      <c r="BB152" s="188"/>
      <c r="BC152" s="188"/>
      <c r="BD152" s="188"/>
      <c r="BE152" s="188"/>
      <c r="BF152" s="188"/>
      <c r="BG152" s="188"/>
      <c r="BH152" s="188"/>
      <c r="BI152" s="189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</row>
    <row r="153" ht="15.75" customHeight="1">
      <c r="A153" s="147"/>
      <c r="B153" s="191" t="s">
        <v>229</v>
      </c>
      <c r="C153" s="91"/>
      <c r="D153" s="91"/>
      <c r="E153" s="91"/>
      <c r="F153" s="186"/>
      <c r="G153" s="191" t="s">
        <v>230</v>
      </c>
      <c r="H153" s="91"/>
      <c r="I153" s="91"/>
      <c r="J153" s="91"/>
      <c r="K153" s="186"/>
      <c r="L153" s="191" t="s">
        <v>231</v>
      </c>
      <c r="M153" s="91"/>
      <c r="N153" s="91"/>
      <c r="O153" s="91"/>
      <c r="P153" s="92"/>
      <c r="Q153" s="147"/>
      <c r="R153" s="147"/>
      <c r="S153" s="147"/>
      <c r="T153" s="147"/>
      <c r="U153" s="147"/>
      <c r="V153" s="147"/>
      <c r="W153" s="147"/>
      <c r="X153" s="147"/>
      <c r="Y153" s="147"/>
      <c r="Z153" s="315" t="s">
        <v>229</v>
      </c>
      <c r="AA153" s="314"/>
      <c r="AB153" s="314"/>
      <c r="AC153" s="378"/>
      <c r="AD153" s="315" t="s">
        <v>230</v>
      </c>
      <c r="AE153" s="314"/>
      <c r="AF153" s="314"/>
      <c r="AG153" s="378"/>
      <c r="AH153" s="315" t="s">
        <v>231</v>
      </c>
      <c r="AI153" s="314"/>
      <c r="AJ153" s="314"/>
      <c r="AK153" s="234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87" t="s">
        <v>229</v>
      </c>
      <c r="AY153" s="188"/>
      <c r="AZ153" s="188"/>
      <c r="BA153" s="190"/>
      <c r="BB153" s="187" t="s">
        <v>230</v>
      </c>
      <c r="BC153" s="188"/>
      <c r="BD153" s="188"/>
      <c r="BE153" s="190"/>
      <c r="BF153" s="187" t="s">
        <v>231</v>
      </c>
      <c r="BG153" s="188"/>
      <c r="BH153" s="188"/>
      <c r="BI153" s="189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</row>
    <row r="154" ht="15.75" customHeight="1">
      <c r="A154" s="258" t="s">
        <v>168</v>
      </c>
      <c r="B154" s="166" t="s">
        <v>232</v>
      </c>
      <c r="C154" s="167" t="s">
        <v>233</v>
      </c>
      <c r="D154" s="167" t="s">
        <v>681</v>
      </c>
      <c r="E154" s="167" t="s">
        <v>682</v>
      </c>
      <c r="F154" s="168" t="s">
        <v>171</v>
      </c>
      <c r="G154" s="166" t="s">
        <v>232</v>
      </c>
      <c r="H154" s="167" t="s">
        <v>233</v>
      </c>
      <c r="I154" s="167" t="s">
        <v>681</v>
      </c>
      <c r="J154" s="167" t="s">
        <v>682</v>
      </c>
      <c r="K154" s="168" t="s">
        <v>171</v>
      </c>
      <c r="L154" s="166" t="s">
        <v>232</v>
      </c>
      <c r="M154" s="167" t="s">
        <v>233</v>
      </c>
      <c r="N154" s="167" t="s">
        <v>681</v>
      </c>
      <c r="O154" s="167" t="s">
        <v>682</v>
      </c>
      <c r="P154" s="168" t="s">
        <v>171</v>
      </c>
      <c r="Y154" s="259" t="s">
        <v>168</v>
      </c>
      <c r="Z154" s="317" t="s">
        <v>232</v>
      </c>
      <c r="AA154" s="50" t="s">
        <v>233</v>
      </c>
      <c r="AB154" s="50" t="s">
        <v>681</v>
      </c>
      <c r="AC154" s="49" t="s">
        <v>682</v>
      </c>
      <c r="AD154" s="317" t="s">
        <v>232</v>
      </c>
      <c r="AE154" s="50" t="s">
        <v>233</v>
      </c>
      <c r="AF154" s="50" t="s">
        <v>681</v>
      </c>
      <c r="AG154" s="49" t="s">
        <v>682</v>
      </c>
      <c r="AH154" s="317" t="s">
        <v>232</v>
      </c>
      <c r="AI154" s="50" t="s">
        <v>233</v>
      </c>
      <c r="AJ154" s="50" t="s">
        <v>681</v>
      </c>
      <c r="AK154" s="318" t="s">
        <v>682</v>
      </c>
      <c r="AW154" s="258" t="s">
        <v>168</v>
      </c>
      <c r="AX154" s="166" t="s">
        <v>232</v>
      </c>
      <c r="AY154" s="167" t="s">
        <v>233</v>
      </c>
      <c r="AZ154" s="167" t="s">
        <v>681</v>
      </c>
      <c r="BA154" s="194" t="s">
        <v>682</v>
      </c>
      <c r="BB154" s="166" t="s">
        <v>232</v>
      </c>
      <c r="BC154" s="167" t="s">
        <v>233</v>
      </c>
      <c r="BD154" s="167" t="s">
        <v>681</v>
      </c>
      <c r="BE154" s="194" t="s">
        <v>682</v>
      </c>
      <c r="BF154" s="166" t="s">
        <v>232</v>
      </c>
      <c r="BG154" s="167" t="s">
        <v>233</v>
      </c>
      <c r="BH154" s="167" t="s">
        <v>681</v>
      </c>
      <c r="BI154" s="168" t="s">
        <v>682</v>
      </c>
    </row>
    <row r="155" ht="15.75" customHeight="1">
      <c r="A155" s="196">
        <v>100.0</v>
      </c>
      <c r="B155" s="151"/>
      <c r="C155" s="11"/>
      <c r="D155" s="20" t="str">
        <f t="shared" ref="D155:D158" si="353">LN(B155)</f>
        <v>#NUM!</v>
      </c>
      <c r="E155" s="20" t="str">
        <f t="shared" ref="E155:E158" si="354">LN(B155/C155)</f>
        <v>#DIV/0!</v>
      </c>
      <c r="F155" s="383"/>
      <c r="G155" s="151"/>
      <c r="H155" s="11"/>
      <c r="I155" s="20" t="str">
        <f t="shared" ref="I155:I158" si="355">LN(G155)</f>
        <v>#NUM!</v>
      </c>
      <c r="J155" s="20" t="str">
        <f t="shared" ref="J155:J158" si="356">LN(G155/H155)</f>
        <v>#DIV/0!</v>
      </c>
      <c r="K155" s="383"/>
      <c r="L155" s="151"/>
      <c r="M155" s="11"/>
      <c r="N155" s="20" t="str">
        <f t="shared" ref="N155:N158" si="357">LN(L155)</f>
        <v>#NUM!</v>
      </c>
      <c r="O155" s="20" t="str">
        <f t="shared" ref="O155:O158" si="358">LN(L155/M155)</f>
        <v>#DIV/0!</v>
      </c>
      <c r="P155" s="347"/>
      <c r="Y155" s="203">
        <v>100.0</v>
      </c>
      <c r="Z155" s="151"/>
      <c r="AA155" s="11"/>
      <c r="AB155" s="20" t="str">
        <f t="shared" ref="AB155:AB158" si="359">LN(Z155)</f>
        <v>#NUM!</v>
      </c>
      <c r="AC155" s="398" t="str">
        <f t="shared" ref="AC155:AC158" si="360">LN(Z155/AA155)</f>
        <v>#DIV/0!</v>
      </c>
      <c r="AD155" s="151"/>
      <c r="AE155" s="11"/>
      <c r="AF155" s="20" t="str">
        <f t="shared" ref="AF155:AF158" si="361">LN(AD155)</f>
        <v>#NUM!</v>
      </c>
      <c r="AG155" s="398" t="str">
        <f t="shared" ref="AG155:AG158" si="362">LN(AD155/AE155)</f>
        <v>#DIV/0!</v>
      </c>
      <c r="AH155" s="151"/>
      <c r="AI155" s="11"/>
      <c r="AJ155" s="20" t="str">
        <f t="shared" ref="AJ155:AJ158" si="363">LN(AH155)</f>
        <v>#NUM!</v>
      </c>
      <c r="AK155" s="321" t="str">
        <f t="shared" ref="AK155:AK158" si="364">LN(AH155/AI155)</f>
        <v>#DIV/0!</v>
      </c>
      <c r="AW155" s="196">
        <v>100.0</v>
      </c>
      <c r="AX155" s="151"/>
      <c r="AY155" s="11"/>
      <c r="AZ155" s="20" t="str">
        <f t="shared" ref="AZ155:AZ158" si="365">LN(AX155)</f>
        <v>#NUM!</v>
      </c>
      <c r="BA155" s="398" t="str">
        <f t="shared" ref="BA155:BA158" si="366">LN(AX155/AY155)</f>
        <v>#DIV/0!</v>
      </c>
      <c r="BB155" s="151"/>
      <c r="BC155" s="11"/>
      <c r="BD155" s="20" t="str">
        <f t="shared" ref="BD155:BD158" si="367">LN(BB155)</f>
        <v>#NUM!</v>
      </c>
      <c r="BE155" s="398" t="str">
        <f t="shared" ref="BE155:BE158" si="368">LN(BB155/BC155)</f>
        <v>#DIV/0!</v>
      </c>
      <c r="BF155" s="151"/>
      <c r="BG155" s="11"/>
      <c r="BH155" s="20" t="str">
        <f t="shared" ref="BH155:BH158" si="369">LN(BF155)</f>
        <v>#NUM!</v>
      </c>
      <c r="BI155" s="321" t="str">
        <f t="shared" ref="BI155:BI158" si="370">LN(BF155/BG155)</f>
        <v>#DIV/0!</v>
      </c>
    </row>
    <row r="156" ht="15.75" customHeight="1">
      <c r="A156" s="196">
        <v>200.0</v>
      </c>
      <c r="B156" s="151"/>
      <c r="C156" s="11"/>
      <c r="D156" s="20" t="str">
        <f t="shared" si="353"/>
        <v>#NUM!</v>
      </c>
      <c r="E156" s="20" t="str">
        <f t="shared" si="354"/>
        <v>#DIV/0!</v>
      </c>
      <c r="F156" s="383"/>
      <c r="G156" s="151"/>
      <c r="H156" s="11"/>
      <c r="I156" s="20" t="str">
        <f t="shared" si="355"/>
        <v>#NUM!</v>
      </c>
      <c r="J156" s="20" t="str">
        <f t="shared" si="356"/>
        <v>#DIV/0!</v>
      </c>
      <c r="K156" s="383"/>
      <c r="L156" s="151"/>
      <c r="M156" s="11"/>
      <c r="N156" s="20" t="str">
        <f t="shared" si="357"/>
        <v>#NUM!</v>
      </c>
      <c r="O156" s="20" t="str">
        <f t="shared" si="358"/>
        <v>#DIV/0!</v>
      </c>
      <c r="P156" s="347"/>
      <c r="Y156" s="203">
        <v>200.0</v>
      </c>
      <c r="Z156" s="151"/>
      <c r="AA156" s="11"/>
      <c r="AB156" s="20" t="str">
        <f t="shared" si="359"/>
        <v>#NUM!</v>
      </c>
      <c r="AC156" s="398" t="str">
        <f t="shared" si="360"/>
        <v>#DIV/0!</v>
      </c>
      <c r="AD156" s="151"/>
      <c r="AE156" s="11"/>
      <c r="AF156" s="20" t="str">
        <f t="shared" si="361"/>
        <v>#NUM!</v>
      </c>
      <c r="AG156" s="398" t="str">
        <f t="shared" si="362"/>
        <v>#DIV/0!</v>
      </c>
      <c r="AH156" s="151"/>
      <c r="AI156" s="11"/>
      <c r="AJ156" s="20" t="str">
        <f t="shared" si="363"/>
        <v>#NUM!</v>
      </c>
      <c r="AK156" s="321" t="str">
        <f t="shared" si="364"/>
        <v>#DIV/0!</v>
      </c>
      <c r="AW156" s="196">
        <v>200.0</v>
      </c>
      <c r="AX156" s="151"/>
      <c r="AY156" s="11"/>
      <c r="AZ156" s="20" t="str">
        <f t="shared" si="365"/>
        <v>#NUM!</v>
      </c>
      <c r="BA156" s="398" t="str">
        <f t="shared" si="366"/>
        <v>#DIV/0!</v>
      </c>
      <c r="BB156" s="151"/>
      <c r="BC156" s="11"/>
      <c r="BD156" s="20" t="str">
        <f t="shared" si="367"/>
        <v>#NUM!</v>
      </c>
      <c r="BE156" s="398" t="str">
        <f t="shared" si="368"/>
        <v>#DIV/0!</v>
      </c>
      <c r="BF156" s="151"/>
      <c r="BG156" s="11"/>
      <c r="BH156" s="20" t="str">
        <f t="shared" si="369"/>
        <v>#NUM!</v>
      </c>
      <c r="BI156" s="321" t="str">
        <f t="shared" si="370"/>
        <v>#DIV/0!</v>
      </c>
    </row>
    <row r="157" ht="15.75" customHeight="1">
      <c r="A157" s="196">
        <v>300.0</v>
      </c>
      <c r="B157" s="151"/>
      <c r="C157" s="11"/>
      <c r="D157" s="20" t="str">
        <f t="shared" si="353"/>
        <v>#NUM!</v>
      </c>
      <c r="E157" s="20" t="str">
        <f t="shared" si="354"/>
        <v>#DIV/0!</v>
      </c>
      <c r="F157" s="383"/>
      <c r="G157" s="151"/>
      <c r="H157" s="11"/>
      <c r="I157" s="20" t="str">
        <f t="shared" si="355"/>
        <v>#NUM!</v>
      </c>
      <c r="J157" s="20" t="str">
        <f t="shared" si="356"/>
        <v>#DIV/0!</v>
      </c>
      <c r="K157" s="383"/>
      <c r="L157" s="151"/>
      <c r="M157" s="11"/>
      <c r="N157" s="20" t="str">
        <f t="shared" si="357"/>
        <v>#NUM!</v>
      </c>
      <c r="O157" s="20" t="str">
        <f t="shared" si="358"/>
        <v>#DIV/0!</v>
      </c>
      <c r="P157" s="347"/>
      <c r="Y157" s="203">
        <v>300.0</v>
      </c>
      <c r="Z157" s="151"/>
      <c r="AA157" s="11"/>
      <c r="AB157" s="20" t="str">
        <f t="shared" si="359"/>
        <v>#NUM!</v>
      </c>
      <c r="AC157" s="398" t="str">
        <f t="shared" si="360"/>
        <v>#DIV/0!</v>
      </c>
      <c r="AD157" s="151"/>
      <c r="AE157" s="11"/>
      <c r="AF157" s="20" t="str">
        <f t="shared" si="361"/>
        <v>#NUM!</v>
      </c>
      <c r="AG157" s="398" t="str">
        <f t="shared" si="362"/>
        <v>#DIV/0!</v>
      </c>
      <c r="AH157" s="151"/>
      <c r="AI157" s="11"/>
      <c r="AJ157" s="20" t="str">
        <f t="shared" si="363"/>
        <v>#NUM!</v>
      </c>
      <c r="AK157" s="321" t="str">
        <f t="shared" si="364"/>
        <v>#DIV/0!</v>
      </c>
      <c r="AW157" s="196">
        <v>300.0</v>
      </c>
      <c r="AX157" s="151"/>
      <c r="AY157" s="11"/>
      <c r="AZ157" s="20" t="str">
        <f t="shared" si="365"/>
        <v>#NUM!</v>
      </c>
      <c r="BA157" s="398" t="str">
        <f t="shared" si="366"/>
        <v>#DIV/0!</v>
      </c>
      <c r="BB157" s="151"/>
      <c r="BC157" s="11"/>
      <c r="BD157" s="20" t="str">
        <f t="shared" si="367"/>
        <v>#NUM!</v>
      </c>
      <c r="BE157" s="398" t="str">
        <f t="shared" si="368"/>
        <v>#DIV/0!</v>
      </c>
      <c r="BF157" s="151"/>
      <c r="BG157" s="11"/>
      <c r="BH157" s="20" t="str">
        <f t="shared" si="369"/>
        <v>#NUM!</v>
      </c>
      <c r="BI157" s="321" t="str">
        <f t="shared" si="370"/>
        <v>#DIV/0!</v>
      </c>
    </row>
    <row r="158" ht="15.75" customHeight="1">
      <c r="A158" s="212">
        <v>400.0</v>
      </c>
      <c r="B158" s="213"/>
      <c r="C158" s="214"/>
      <c r="D158" s="323" t="str">
        <f t="shared" si="353"/>
        <v>#NUM!</v>
      </c>
      <c r="E158" s="323" t="str">
        <f t="shared" si="354"/>
        <v>#DIV/0!</v>
      </c>
      <c r="F158" s="386"/>
      <c r="G158" s="213"/>
      <c r="H158" s="214"/>
      <c r="I158" s="323" t="str">
        <f t="shared" si="355"/>
        <v>#NUM!</v>
      </c>
      <c r="J158" s="323" t="str">
        <f t="shared" si="356"/>
        <v>#DIV/0!</v>
      </c>
      <c r="K158" s="386"/>
      <c r="L158" s="213"/>
      <c r="M158" s="214"/>
      <c r="N158" s="323" t="str">
        <f t="shared" si="357"/>
        <v>#NUM!</v>
      </c>
      <c r="O158" s="323" t="str">
        <f t="shared" si="358"/>
        <v>#DIV/0!</v>
      </c>
      <c r="P158" s="348"/>
      <c r="Y158" s="216">
        <v>400.0</v>
      </c>
      <c r="Z158" s="213"/>
      <c r="AA158" s="214"/>
      <c r="AB158" s="323" t="str">
        <f t="shared" si="359"/>
        <v>#NUM!</v>
      </c>
      <c r="AC158" s="399" t="str">
        <f t="shared" si="360"/>
        <v>#DIV/0!</v>
      </c>
      <c r="AD158" s="213"/>
      <c r="AE158" s="214"/>
      <c r="AF158" s="323" t="str">
        <f t="shared" si="361"/>
        <v>#NUM!</v>
      </c>
      <c r="AG158" s="399" t="str">
        <f t="shared" si="362"/>
        <v>#DIV/0!</v>
      </c>
      <c r="AH158" s="213"/>
      <c r="AI158" s="214"/>
      <c r="AJ158" s="323" t="str">
        <f t="shared" si="363"/>
        <v>#NUM!</v>
      </c>
      <c r="AK158" s="324" t="str">
        <f t="shared" si="364"/>
        <v>#DIV/0!</v>
      </c>
      <c r="AW158" s="212">
        <v>400.0</v>
      </c>
      <c r="AX158" s="213"/>
      <c r="AY158" s="214"/>
      <c r="AZ158" s="323" t="str">
        <f t="shared" si="365"/>
        <v>#NUM!</v>
      </c>
      <c r="BA158" s="399" t="str">
        <f t="shared" si="366"/>
        <v>#DIV/0!</v>
      </c>
      <c r="BB158" s="213"/>
      <c r="BC158" s="214"/>
      <c r="BD158" s="323" t="str">
        <f t="shared" si="367"/>
        <v>#NUM!</v>
      </c>
      <c r="BE158" s="399" t="str">
        <f t="shared" si="368"/>
        <v>#DIV/0!</v>
      </c>
      <c r="BF158" s="213"/>
      <c r="BG158" s="214"/>
      <c r="BH158" s="323" t="str">
        <f t="shared" si="369"/>
        <v>#NUM!</v>
      </c>
      <c r="BI158" s="324" t="str">
        <f t="shared" si="370"/>
        <v>#DIV/0!</v>
      </c>
    </row>
    <row r="159" ht="15.75" customHeight="1">
      <c r="A159" s="5"/>
      <c r="B159" s="141"/>
      <c r="C159" s="141"/>
      <c r="D159" s="155"/>
      <c r="E159" s="155"/>
      <c r="F159" s="141"/>
      <c r="G159" s="141"/>
      <c r="H159" s="155"/>
      <c r="I159" s="155"/>
      <c r="J159" s="141"/>
      <c r="K159" s="141"/>
      <c r="L159" s="155"/>
      <c r="M159" s="155"/>
      <c r="Y159" s="5"/>
      <c r="Z159" s="141"/>
      <c r="AA159" s="141"/>
      <c r="AB159" s="155"/>
      <c r="AC159" s="155"/>
      <c r="AD159" s="141"/>
      <c r="AE159" s="141"/>
      <c r="AF159" s="155"/>
      <c r="AG159" s="155"/>
      <c r="AH159" s="141"/>
      <c r="AI159" s="141"/>
      <c r="AJ159" s="155"/>
      <c r="AK159" s="155"/>
      <c r="AW159" s="5"/>
      <c r="AX159" s="141"/>
      <c r="AY159" s="141"/>
      <c r="AZ159" s="155"/>
      <c r="BA159" s="155"/>
      <c r="BB159" s="141"/>
      <c r="BC159" s="141"/>
      <c r="BD159" s="155"/>
      <c r="BE159" s="155"/>
      <c r="BF159" s="141"/>
      <c r="BG159" s="141"/>
      <c r="BH159" s="155"/>
      <c r="BI159" s="155"/>
    </row>
    <row r="160" ht="15.75" customHeight="1">
      <c r="A160" s="5"/>
      <c r="B160" s="141"/>
      <c r="C160" s="141"/>
      <c r="D160" s="155"/>
      <c r="E160" s="155"/>
      <c r="F160" s="141"/>
      <c r="G160" s="141"/>
      <c r="H160" s="155"/>
      <c r="I160" s="155"/>
      <c r="J160" s="141"/>
      <c r="K160" s="141"/>
      <c r="L160" s="155"/>
      <c r="M160" s="155"/>
      <c r="Y160" s="5"/>
      <c r="Z160" s="141"/>
      <c r="AA160" s="141"/>
      <c r="AB160" s="155"/>
      <c r="AC160" s="155"/>
      <c r="AD160" s="141"/>
      <c r="AE160" s="141"/>
      <c r="AF160" s="155"/>
      <c r="AG160" s="155"/>
      <c r="AH160" s="141"/>
      <c r="AI160" s="141"/>
      <c r="AJ160" s="155"/>
      <c r="AK160" s="155"/>
      <c r="AW160" s="5"/>
      <c r="AX160" s="141"/>
      <c r="AY160" s="141"/>
      <c r="AZ160" s="155"/>
      <c r="BA160" s="155"/>
      <c r="BB160" s="141"/>
      <c r="BC160" s="141"/>
      <c r="BD160" s="155"/>
      <c r="BE160" s="155"/>
      <c r="BF160" s="141"/>
      <c r="BG160" s="141"/>
      <c r="BH160" s="155"/>
      <c r="BI160" s="155"/>
    </row>
    <row r="161" ht="15.75" customHeight="1"/>
    <row r="162" ht="15.75" hidden="1" customHeight="1"/>
    <row r="163" ht="15.75" hidden="1" customHeight="1"/>
    <row r="164" ht="15.75" hidden="1" customHeight="1"/>
    <row r="165" ht="15.75" hidden="1" customHeight="1">
      <c r="A165" s="147"/>
      <c r="B165" s="191" t="s">
        <v>978</v>
      </c>
      <c r="C165" s="91"/>
      <c r="D165" s="91"/>
      <c r="E165" s="91"/>
      <c r="F165" s="91"/>
      <c r="G165" s="91"/>
      <c r="H165" s="91"/>
      <c r="I165" s="91"/>
      <c r="J165" s="92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91" t="s">
        <v>979</v>
      </c>
      <c r="AA165" s="91"/>
      <c r="AB165" s="91"/>
      <c r="AC165" s="91"/>
      <c r="AD165" s="91"/>
      <c r="AE165" s="91"/>
      <c r="AF165" s="91"/>
      <c r="AG165" s="91"/>
      <c r="AH165" s="92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87" t="s">
        <v>980</v>
      </c>
      <c r="AY165" s="188"/>
      <c r="AZ165" s="188"/>
      <c r="BA165" s="188"/>
      <c r="BB165" s="188"/>
      <c r="BC165" s="188"/>
      <c r="BD165" s="188"/>
      <c r="BE165" s="188"/>
      <c r="BF165" s="189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</row>
    <row r="166" ht="15.75" hidden="1" customHeight="1">
      <c r="A166" s="147"/>
      <c r="B166" s="315" t="s">
        <v>229</v>
      </c>
      <c r="C166" s="314"/>
      <c r="D166" s="234"/>
      <c r="E166" s="315" t="s">
        <v>230</v>
      </c>
      <c r="F166" s="314"/>
      <c r="G166" s="234"/>
      <c r="H166" s="315" t="s">
        <v>231</v>
      </c>
      <c r="I166" s="314"/>
      <c r="J166" s="234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315" t="s">
        <v>229</v>
      </c>
      <c r="AA166" s="314"/>
      <c r="AB166" s="234"/>
      <c r="AC166" s="315" t="s">
        <v>230</v>
      </c>
      <c r="AD166" s="314"/>
      <c r="AE166" s="234"/>
      <c r="AF166" s="315" t="s">
        <v>231</v>
      </c>
      <c r="AG166" s="314"/>
      <c r="AH166" s="234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315" t="s">
        <v>229</v>
      </c>
      <c r="AY166" s="314"/>
      <c r="AZ166" s="234"/>
      <c r="BA166" s="357" t="s">
        <v>230</v>
      </c>
      <c r="BB166" s="314"/>
      <c r="BC166" s="234"/>
      <c r="BD166" s="357" t="s">
        <v>231</v>
      </c>
      <c r="BE166" s="314"/>
      <c r="BF166" s="234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</row>
    <row r="167" ht="15.75" hidden="1" customHeight="1">
      <c r="A167" s="258" t="s">
        <v>168</v>
      </c>
      <c r="B167" s="317" t="s">
        <v>378</v>
      </c>
      <c r="C167" s="50" t="s">
        <v>232</v>
      </c>
      <c r="D167" s="400" t="s">
        <v>686</v>
      </c>
      <c r="E167" s="317" t="s">
        <v>378</v>
      </c>
      <c r="F167" s="50" t="s">
        <v>232</v>
      </c>
      <c r="G167" s="400" t="s">
        <v>686</v>
      </c>
      <c r="H167" s="317" t="s">
        <v>378</v>
      </c>
      <c r="I167" s="50" t="s">
        <v>232</v>
      </c>
      <c r="J167" s="400" t="s">
        <v>686</v>
      </c>
      <c r="Y167" s="258" t="s">
        <v>168</v>
      </c>
      <c r="Z167" s="317" t="s">
        <v>378</v>
      </c>
      <c r="AA167" s="50" t="s">
        <v>232</v>
      </c>
      <c r="AB167" s="347"/>
      <c r="AC167" s="317" t="s">
        <v>378</v>
      </c>
      <c r="AD167" s="50" t="s">
        <v>232</v>
      </c>
      <c r="AE167" s="347"/>
      <c r="AF167" s="317" t="s">
        <v>378</v>
      </c>
      <c r="AG167" s="50" t="s">
        <v>232</v>
      </c>
      <c r="AH167" s="347"/>
      <c r="AW167" s="258" t="s">
        <v>168</v>
      </c>
      <c r="AX167" s="317" t="s">
        <v>378</v>
      </c>
      <c r="AY167" s="50" t="s">
        <v>232</v>
      </c>
      <c r="AZ167" s="347"/>
      <c r="BA167" s="358" t="s">
        <v>378</v>
      </c>
      <c r="BB167" s="50" t="s">
        <v>232</v>
      </c>
      <c r="BC167" s="347"/>
      <c r="BD167" s="358" t="s">
        <v>378</v>
      </c>
      <c r="BE167" s="50" t="s">
        <v>232</v>
      </c>
      <c r="BF167" s="347"/>
    </row>
    <row r="168" ht="15.75" hidden="1" customHeight="1">
      <c r="A168" s="319">
        <v>50.0</v>
      </c>
      <c r="B168" s="320">
        <v>0.40382065809977274</v>
      </c>
      <c r="C168" s="20">
        <v>2.5304659498207887</v>
      </c>
      <c r="D168" s="347" t="str">
        <f t="array" ref="D168">LN(C168(1-B168/B168)-(B168/1-B168))</f>
        <v>#NAME?</v>
      </c>
      <c r="E168" s="320">
        <v>0.5439808538632549</v>
      </c>
      <c r="F168" s="20">
        <v>27.6200716845878</v>
      </c>
      <c r="G168" s="347"/>
      <c r="H168" s="320">
        <v>0.6519245932661734</v>
      </c>
      <c r="I168" s="20">
        <v>12.924731182795696</v>
      </c>
      <c r="J168" s="347"/>
      <c r="Y168" s="319">
        <v>50.0</v>
      </c>
      <c r="Z168" s="320">
        <v>0.17823438572409053</v>
      </c>
      <c r="AA168" s="20"/>
      <c r="AB168" s="347"/>
      <c r="AC168" s="320">
        <v>0.6674511548289602</v>
      </c>
      <c r="AD168" s="20"/>
      <c r="AE168" s="347"/>
      <c r="AF168" s="320">
        <v>0.47307007740090273</v>
      </c>
      <c r="AG168" s="20"/>
      <c r="AH168" s="347"/>
      <c r="AW168" s="319">
        <v>50.0</v>
      </c>
      <c r="AX168" s="320">
        <v>0.2559463720994248</v>
      </c>
      <c r="AY168" s="20">
        <v>2.351254480286738</v>
      </c>
      <c r="AZ168" s="347"/>
      <c r="BA168" s="44">
        <v>0.6579570130311829</v>
      </c>
      <c r="BB168" s="20">
        <v>9.519713261648745</v>
      </c>
      <c r="BC168" s="347"/>
      <c r="BD168" s="44">
        <v>0.40606725777569164</v>
      </c>
      <c r="BE168" s="20">
        <v>5.577060931899641</v>
      </c>
      <c r="BF168" s="347"/>
    </row>
    <row r="169" ht="15.75" hidden="1" customHeight="1">
      <c r="A169" s="319">
        <v>75.0</v>
      </c>
      <c r="B169" s="320">
        <v>0.6234223153102233</v>
      </c>
      <c r="C169" s="20">
        <v>2.3512544802867383</v>
      </c>
      <c r="D169" s="347"/>
      <c r="E169" s="320">
        <v>0.6044712964834681</v>
      </c>
      <c r="F169" s="20">
        <v>57.189964157706086</v>
      </c>
      <c r="G169" s="347"/>
      <c r="H169" s="320">
        <v>0.8232541181056366</v>
      </c>
      <c r="I169" s="20">
        <v>32.63799283154122</v>
      </c>
      <c r="J169" s="347"/>
      <c r="Y169" s="319">
        <v>75.0</v>
      </c>
      <c r="Z169" s="320">
        <v>0.2908671875872597</v>
      </c>
      <c r="AA169" s="20"/>
      <c r="AB169" s="347"/>
      <c r="AC169" s="320">
        <v>0.9928836074203976</v>
      </c>
      <c r="AD169" s="20"/>
      <c r="AE169" s="347"/>
      <c r="AF169" s="320">
        <v>0.656776741788084</v>
      </c>
      <c r="AG169" s="20"/>
      <c r="AH169" s="347"/>
      <c r="AW169" s="319">
        <v>75.0</v>
      </c>
      <c r="AX169" s="320">
        <v>0.3900821963348449</v>
      </c>
      <c r="AY169" s="20">
        <v>2.5304659498207887</v>
      </c>
      <c r="AZ169" s="347"/>
      <c r="BA169" s="44">
        <v>0.8821642938401709</v>
      </c>
      <c r="BB169" s="20">
        <v>21.34767025089606</v>
      </c>
      <c r="BC169" s="347"/>
      <c r="BD169" s="44">
        <v>0.6682204438577675</v>
      </c>
      <c r="BE169" s="20">
        <v>9.519713261648743</v>
      </c>
      <c r="BF169" s="347"/>
    </row>
    <row r="170" ht="15.75" hidden="1" customHeight="1">
      <c r="A170" s="319">
        <v>100.0</v>
      </c>
      <c r="B170" s="320">
        <v>0.6963417590657736</v>
      </c>
      <c r="C170" s="20">
        <v>6.831541218637992</v>
      </c>
      <c r="D170" s="347"/>
      <c r="E170" s="320">
        <v>0.7539000000000001</v>
      </c>
      <c r="F170" s="20">
        <v>65.0</v>
      </c>
      <c r="G170" s="347"/>
      <c r="H170" s="320">
        <v>0.9783754351666067</v>
      </c>
      <c r="I170" s="20">
        <v>38.19354838709677</v>
      </c>
      <c r="J170" s="347"/>
      <c r="Y170" s="319">
        <v>100.0</v>
      </c>
      <c r="Z170" s="320">
        <v>0.37535125703014083</v>
      </c>
      <c r="AA170" s="20"/>
      <c r="AB170" s="347"/>
      <c r="AC170" s="320">
        <v>1.206891740191303</v>
      </c>
      <c r="AD170" s="20"/>
      <c r="AE170" s="347"/>
      <c r="AF170" s="320">
        <v>0.7263865081812106</v>
      </c>
      <c r="AG170" s="20"/>
      <c r="AH170" s="347"/>
      <c r="AW170" s="319">
        <v>100.0</v>
      </c>
      <c r="AX170" s="320">
        <v>0.5006912395731925</v>
      </c>
      <c r="AY170" s="20">
        <v>2.8888888888888884</v>
      </c>
      <c r="AZ170" s="347"/>
      <c r="BA170" s="44">
        <v>1.0878334307238555</v>
      </c>
      <c r="BB170" s="20">
        <v>31.025089605734763</v>
      </c>
      <c r="BC170" s="347"/>
      <c r="BD170" s="44">
        <v>0.7384549144366792</v>
      </c>
      <c r="BE170" s="20">
        <v>15.97132616487455</v>
      </c>
      <c r="BF170" s="347"/>
    </row>
    <row r="171" ht="15.75" hidden="1" customHeight="1">
      <c r="A171" s="319">
        <v>150.0</v>
      </c>
      <c r="B171" s="320">
        <v>0.9119828469515012</v>
      </c>
      <c r="C171" s="20">
        <v>12.387096774193548</v>
      </c>
      <c r="D171" s="347"/>
      <c r="E171" s="320">
        <v>0.7720781273826135</v>
      </c>
      <c r="F171" s="20">
        <v>100.55913978494621</v>
      </c>
      <c r="G171" s="347"/>
      <c r="H171" s="320">
        <v>1.0008010699994638</v>
      </c>
      <c r="I171" s="20">
        <v>73.49820788530465</v>
      </c>
      <c r="J171" s="347"/>
      <c r="Y171" s="319">
        <v>150.0</v>
      </c>
      <c r="Z171" s="320">
        <v>0.49414074233316757</v>
      </c>
      <c r="AA171" s="20"/>
      <c r="AB171" s="347"/>
      <c r="AC171" s="320">
        <v>1.3355685721799337</v>
      </c>
      <c r="AD171" s="20"/>
      <c r="AE171" s="347"/>
      <c r="AF171" s="320">
        <v>0.8296239628637947</v>
      </c>
      <c r="AG171" s="20"/>
      <c r="AH171" s="347"/>
      <c r="AW171" s="319">
        <v>150.0</v>
      </c>
      <c r="AX171" s="320">
        <v>0.6906513330110013</v>
      </c>
      <c r="AY171" s="20">
        <v>7.189964157706092</v>
      </c>
      <c r="AZ171" s="347"/>
      <c r="BA171" s="44">
        <v>1.1431429285892905</v>
      </c>
      <c r="BB171" s="20">
        <v>71.8853046594982</v>
      </c>
      <c r="BC171" s="347"/>
      <c r="BD171" s="44">
        <v>0.8029078808349362</v>
      </c>
      <c r="BE171" s="20">
        <v>53.24731182795699</v>
      </c>
      <c r="BF171" s="347"/>
    </row>
    <row r="172" ht="15.75" hidden="1" customHeight="1">
      <c r="A172" s="319">
        <v>250.0</v>
      </c>
      <c r="B172" s="322">
        <v>0.9496688741721857</v>
      </c>
      <c r="C172" s="323">
        <v>48.767025089605724</v>
      </c>
      <c r="D172" s="348"/>
      <c r="E172" s="322">
        <v>0.8464343512769329</v>
      </c>
      <c r="F172" s="323">
        <v>138.55197132616485</v>
      </c>
      <c r="G172" s="348"/>
      <c r="H172" s="322">
        <v>0.9435934269561012</v>
      </c>
      <c r="I172" s="323">
        <v>121.16845878136199</v>
      </c>
      <c r="J172" s="348"/>
      <c r="Y172" s="319">
        <v>250.0</v>
      </c>
      <c r="Z172" s="322">
        <v>0.6619433739206178</v>
      </c>
      <c r="AA172" s="323"/>
      <c r="AB172" s="348"/>
      <c r="AC172" s="322">
        <v>1.545126236571229</v>
      </c>
      <c r="AD172" s="323"/>
      <c r="AE172" s="348"/>
      <c r="AF172" s="322">
        <v>0.9500068884960868</v>
      </c>
      <c r="AG172" s="323"/>
      <c r="AH172" s="348"/>
      <c r="AW172" s="319">
        <v>250.0</v>
      </c>
      <c r="AX172" s="322">
        <v>0.9520184959776864</v>
      </c>
      <c r="AY172" s="323">
        <v>86.93906810035841</v>
      </c>
      <c r="AZ172" s="348"/>
      <c r="BA172" s="330">
        <v>0.9887502231786464</v>
      </c>
      <c r="BB172" s="323">
        <v>217.40501792114696</v>
      </c>
      <c r="BC172" s="348"/>
      <c r="BD172" s="330">
        <v>0.965054062720452</v>
      </c>
      <c r="BE172" s="323">
        <v>167.2258064516129</v>
      </c>
      <c r="BF172" s="348"/>
    </row>
    <row r="173" ht="15.75" hidden="1" customHeight="1">
      <c r="A173" s="319">
        <v>350.0</v>
      </c>
      <c r="Y173" s="319">
        <v>350.0</v>
      </c>
      <c r="AW173" s="319">
        <v>350.0</v>
      </c>
    </row>
    <row r="174" ht="15.75" hidden="1" customHeight="1"/>
    <row r="175" ht="15.75" hidden="1" customHeight="1"/>
    <row r="176" ht="15.75" hidden="1" customHeight="1">
      <c r="C176" s="166" t="s">
        <v>981</v>
      </c>
      <c r="D176" s="167" t="s">
        <v>715</v>
      </c>
      <c r="E176" s="168" t="s">
        <v>982</v>
      </c>
      <c r="F176" s="166" t="s">
        <v>983</v>
      </c>
      <c r="G176" s="167" t="s">
        <v>715</v>
      </c>
      <c r="H176" s="168" t="s">
        <v>984</v>
      </c>
      <c r="I176" s="166" t="s">
        <v>985</v>
      </c>
      <c r="J176" s="167" t="s">
        <v>715</v>
      </c>
      <c r="K176" s="168" t="s">
        <v>986</v>
      </c>
      <c r="AA176" s="166" t="s">
        <v>987</v>
      </c>
      <c r="AB176" s="167" t="s">
        <v>715</v>
      </c>
      <c r="AC176" s="168" t="s">
        <v>988</v>
      </c>
      <c r="AD176" s="166" t="s">
        <v>989</v>
      </c>
      <c r="AE176" s="167" t="s">
        <v>715</v>
      </c>
      <c r="AF176" s="168" t="s">
        <v>990</v>
      </c>
      <c r="AG176" s="166" t="s">
        <v>991</v>
      </c>
      <c r="AH176" s="167" t="s">
        <v>715</v>
      </c>
      <c r="AI176" s="168" t="s">
        <v>992</v>
      </c>
      <c r="AY176" s="166" t="s">
        <v>993</v>
      </c>
      <c r="AZ176" s="167" t="s">
        <v>715</v>
      </c>
      <c r="BA176" s="168" t="s">
        <v>994</v>
      </c>
      <c r="BB176" s="166" t="s">
        <v>995</v>
      </c>
      <c r="BC176" s="167" t="s">
        <v>715</v>
      </c>
      <c r="BD176" s="168" t="s">
        <v>996</v>
      </c>
      <c r="BE176" s="166" t="s">
        <v>997</v>
      </c>
      <c r="BF176" s="167" t="s">
        <v>715</v>
      </c>
      <c r="BG176" s="168" t="s">
        <v>998</v>
      </c>
    </row>
    <row r="177" ht="15.75" hidden="1" customHeight="1">
      <c r="C177" s="354"/>
      <c r="D177" s="303"/>
      <c r="E177" s="348"/>
      <c r="F177" s="354"/>
      <c r="G177" s="303"/>
      <c r="H177" s="348"/>
      <c r="I177" s="354"/>
      <c r="J177" s="303"/>
      <c r="K177" s="348"/>
      <c r="AA177" s="354"/>
      <c r="AB177" s="303"/>
      <c r="AC177" s="348"/>
      <c r="AD177" s="354"/>
      <c r="AE177" s="303"/>
      <c r="AF177" s="348"/>
      <c r="AG177" s="354"/>
      <c r="AH177" s="303"/>
      <c r="AI177" s="348"/>
      <c r="AY177" s="354"/>
      <c r="AZ177" s="303"/>
      <c r="BA177" s="348"/>
      <c r="BB177" s="354"/>
      <c r="BC177" s="303"/>
      <c r="BD177" s="348"/>
      <c r="BE177" s="354"/>
      <c r="BF177" s="303"/>
      <c r="BG177" s="348"/>
    </row>
    <row r="178" ht="15.75" hidden="1" customHeight="1">
      <c r="C178" s="359" t="s">
        <v>999</v>
      </c>
      <c r="D178" s="3"/>
      <c r="E178" s="3"/>
      <c r="F178" s="3"/>
      <c r="G178" s="3"/>
      <c r="H178" s="3"/>
      <c r="I178" s="3"/>
      <c r="J178" s="3"/>
      <c r="K178" s="356"/>
      <c r="L178" s="147"/>
      <c r="M178" s="147"/>
      <c r="N178" s="147"/>
      <c r="AA178" s="187" t="s">
        <v>1000</v>
      </c>
      <c r="AB178" s="188"/>
      <c r="AC178" s="188"/>
      <c r="AD178" s="188"/>
      <c r="AE178" s="188"/>
      <c r="AF178" s="188"/>
      <c r="AG178" s="188"/>
      <c r="AH178" s="188"/>
      <c r="AI178" s="189"/>
      <c r="AJ178" s="147"/>
      <c r="AY178" s="187" t="s">
        <v>1001</v>
      </c>
      <c r="AZ178" s="188"/>
      <c r="BA178" s="188"/>
      <c r="BB178" s="188"/>
      <c r="BC178" s="188"/>
      <c r="BD178" s="188"/>
      <c r="BE178" s="188"/>
      <c r="BF178" s="188"/>
      <c r="BG178" s="189"/>
      <c r="BH178" s="147"/>
    </row>
    <row r="179" ht="15.75" hidden="1" customHeight="1">
      <c r="C179" s="315" t="s">
        <v>229</v>
      </c>
      <c r="D179" s="314"/>
      <c r="E179" s="234"/>
      <c r="F179" s="315" t="s">
        <v>230</v>
      </c>
      <c r="G179" s="314"/>
      <c r="H179" s="234"/>
      <c r="I179" s="315" t="s">
        <v>231</v>
      </c>
      <c r="J179" s="314"/>
      <c r="K179" s="234"/>
      <c r="L179" s="147"/>
      <c r="M179" s="147"/>
      <c r="N179" s="147"/>
      <c r="AA179" s="315" t="s">
        <v>229</v>
      </c>
      <c r="AB179" s="314"/>
      <c r="AC179" s="234"/>
      <c r="AD179" s="315" t="s">
        <v>230</v>
      </c>
      <c r="AE179" s="314"/>
      <c r="AF179" s="234"/>
      <c r="AG179" s="315" t="s">
        <v>231</v>
      </c>
      <c r="AH179" s="314"/>
      <c r="AI179" s="234"/>
      <c r="AJ179" s="147"/>
      <c r="AY179" s="315" t="s">
        <v>229</v>
      </c>
      <c r="AZ179" s="314"/>
      <c r="BA179" s="234"/>
      <c r="BB179" s="315" t="s">
        <v>230</v>
      </c>
      <c r="BC179" s="314"/>
      <c r="BD179" s="234"/>
      <c r="BE179" s="315" t="s">
        <v>231</v>
      </c>
      <c r="BF179" s="314"/>
      <c r="BG179" s="234"/>
      <c r="BH179" s="147"/>
    </row>
    <row r="180" ht="15.75" hidden="1" customHeight="1">
      <c r="B180" s="258" t="s">
        <v>168</v>
      </c>
      <c r="C180" s="317" t="s">
        <v>378</v>
      </c>
      <c r="D180" s="50" t="s">
        <v>443</v>
      </c>
      <c r="E180" s="318" t="s">
        <v>444</v>
      </c>
      <c r="F180" s="317" t="s">
        <v>378</v>
      </c>
      <c r="G180" s="50" t="s">
        <v>443</v>
      </c>
      <c r="H180" s="318" t="s">
        <v>444</v>
      </c>
      <c r="I180" s="317" t="s">
        <v>378</v>
      </c>
      <c r="J180" s="50" t="s">
        <v>443</v>
      </c>
      <c r="K180" s="318" t="s">
        <v>444</v>
      </c>
      <c r="Z180" s="258" t="s">
        <v>168</v>
      </c>
      <c r="AA180" s="317" t="s">
        <v>378</v>
      </c>
      <c r="AB180" s="50" t="s">
        <v>443</v>
      </c>
      <c r="AC180" s="318" t="s">
        <v>444</v>
      </c>
      <c r="AD180" s="317" t="s">
        <v>378</v>
      </c>
      <c r="AE180" s="50" t="s">
        <v>443</v>
      </c>
      <c r="AF180" s="318" t="s">
        <v>444</v>
      </c>
      <c r="AG180" s="317" t="s">
        <v>378</v>
      </c>
      <c r="AH180" s="50" t="s">
        <v>443</v>
      </c>
      <c r="AI180" s="318" t="s">
        <v>444</v>
      </c>
      <c r="AX180" s="258" t="s">
        <v>168</v>
      </c>
      <c r="AY180" s="317" t="s">
        <v>378</v>
      </c>
      <c r="AZ180" s="50" t="s">
        <v>443</v>
      </c>
      <c r="BA180" s="318" t="s">
        <v>444</v>
      </c>
      <c r="BB180" s="317" t="s">
        <v>378</v>
      </c>
      <c r="BC180" s="50" t="s">
        <v>443</v>
      </c>
      <c r="BD180" s="318" t="s">
        <v>444</v>
      </c>
      <c r="BE180" s="317" t="s">
        <v>378</v>
      </c>
      <c r="BF180" s="50" t="s">
        <v>443</v>
      </c>
      <c r="BG180" s="318" t="s">
        <v>444</v>
      </c>
    </row>
    <row r="181" ht="15.75" hidden="1" customHeight="1">
      <c r="B181" s="319">
        <v>50.0</v>
      </c>
      <c r="C181" s="320">
        <v>0.40382065809977274</v>
      </c>
      <c r="D181" s="20">
        <f t="shared" ref="D181:D185" si="371">LOG(1-C181)</f>
        <v>-0.2246230767</v>
      </c>
      <c r="E181" s="321">
        <f t="shared" ref="E181:E185" si="372">LOG(C181/$B181)</f>
        <v>-2.092781472</v>
      </c>
      <c r="F181" s="320">
        <v>0.5439808538632549</v>
      </c>
      <c r="G181" s="20">
        <f t="shared" ref="G181:G185" si="373">LOG(1-F181)</f>
        <v>-0.3410169229</v>
      </c>
      <c r="H181" s="321">
        <f t="shared" ref="H181:H185" si="374">LOG(F181/$B181)</f>
        <v>-1.96338639</v>
      </c>
      <c r="I181" s="320">
        <v>0.6519245932661734</v>
      </c>
      <c r="J181" s="20">
        <f t="shared" ref="J181:J185" si="375">LOG(1-I181)</f>
        <v>-0.4583266607</v>
      </c>
      <c r="K181" s="321">
        <f t="shared" ref="K181:K185" si="376">LOG(I181/$B181)</f>
        <v>-1.88477264</v>
      </c>
      <c r="Z181" s="382">
        <v>54.32258064516128</v>
      </c>
      <c r="AA181" s="320">
        <v>0.17823438572409053</v>
      </c>
      <c r="AB181" s="20">
        <f t="shared" ref="AB181:AB185" si="377">LOG(1-AA181)</f>
        <v>-0.08525203519</v>
      </c>
      <c r="AC181" s="321">
        <f t="shared" ref="AC181:AC185" si="378">LOG(AA181/Z181)</f>
        <v>-2.4839889</v>
      </c>
      <c r="AD181" s="320">
        <v>0.6674511548289602</v>
      </c>
      <c r="AE181" s="20">
        <f t="shared" ref="AE181:AE185" si="379">LOG(1-AD181)</f>
        <v>-0.478144556</v>
      </c>
      <c r="AF181" s="321">
        <f t="shared" ref="AF181:AF185" si="380">LOG(AD181/$Z181)</f>
        <v>-1.910560905</v>
      </c>
      <c r="AG181" s="320">
        <v>0.47307007740090273</v>
      </c>
      <c r="AH181" s="20">
        <f t="shared" ref="AH181:AH185" si="381">LOG(1-AG181)</f>
        <v>-0.2782471386</v>
      </c>
      <c r="AI181" s="321">
        <f t="shared" ref="AI181:AI185" si="382">LOG(AG181/$Z181)</f>
        <v>-2.060054914</v>
      </c>
      <c r="AX181" s="382">
        <v>57.189964157706086</v>
      </c>
      <c r="AY181" s="320">
        <v>0.2559463720994248</v>
      </c>
      <c r="AZ181" s="20">
        <f t="shared" ref="AZ181:AZ185" si="383">LOG(1-AY181)</f>
        <v>-0.1283957614</v>
      </c>
      <c r="BA181" s="321">
        <f t="shared" ref="BA181:BA185" si="384">LOG(AY181/$AX181)</f>
        <v>-2.349170846</v>
      </c>
      <c r="BB181" s="320">
        <v>0.6579570130311829</v>
      </c>
      <c r="BC181" s="20">
        <f t="shared" ref="BC181:BC185" si="385">LOG(1-BB181)</f>
        <v>-0.4659193096</v>
      </c>
      <c r="BD181" s="321">
        <f t="shared" ref="BD181:BD185" si="386">LOG(BB181/$AX181)</f>
        <v>-1.939122304</v>
      </c>
      <c r="BE181" s="320">
        <v>0.40606725777569164</v>
      </c>
      <c r="BF181" s="20">
        <f t="shared" ref="BF181:BF185" si="387">LOG(1-BE181)</f>
        <v>-0.2262627323</v>
      </c>
      <c r="BG181" s="321">
        <f t="shared" ref="BG181:BG185" si="388">LOG(BE181/$AX181)</f>
        <v>-2.148721852</v>
      </c>
    </row>
    <row r="182" ht="15.75" hidden="1" customHeight="1">
      <c r="B182" s="319">
        <v>75.0</v>
      </c>
      <c r="C182" s="320">
        <v>0.6234223153102233</v>
      </c>
      <c r="D182" s="20">
        <f t="shared" si="371"/>
        <v>-0.4241454191</v>
      </c>
      <c r="E182" s="321">
        <f t="shared" si="372"/>
        <v>-2.08027892</v>
      </c>
      <c r="F182" s="320">
        <v>0.6044712964834681</v>
      </c>
      <c r="G182" s="20">
        <f t="shared" si="373"/>
        <v>-0.4028219943</v>
      </c>
      <c r="H182" s="321">
        <f t="shared" si="374"/>
        <v>-2.09368558</v>
      </c>
      <c r="I182" s="320">
        <v>0.8232541181056366</v>
      </c>
      <c r="J182" s="20">
        <f t="shared" si="375"/>
        <v>-0.7526506963</v>
      </c>
      <c r="K182" s="321">
        <f t="shared" si="376"/>
        <v>-1.959527352</v>
      </c>
      <c r="Z182" s="382">
        <v>86.2222222222222</v>
      </c>
      <c r="AA182" s="320">
        <v>0.2908671875872597</v>
      </c>
      <c r="AB182" s="20">
        <f t="shared" si="377"/>
        <v>-0.1492724188</v>
      </c>
      <c r="AC182" s="321">
        <f t="shared" si="378"/>
        <v>-2.47192448</v>
      </c>
      <c r="AD182" s="320">
        <v>0.9928836074203976</v>
      </c>
      <c r="AE182" s="20">
        <f t="shared" si="379"/>
        <v>-2.147740102</v>
      </c>
      <c r="AF182" s="321">
        <f t="shared" si="380"/>
        <v>-1.938720871</v>
      </c>
      <c r="AG182" s="320">
        <v>0.656776741788084</v>
      </c>
      <c r="AH182" s="20">
        <f t="shared" si="381"/>
        <v>-0.4644232903</v>
      </c>
      <c r="AI182" s="321">
        <f t="shared" si="382"/>
        <v>-2.118201447</v>
      </c>
      <c r="AX182" s="382">
        <v>85.86379928315411</v>
      </c>
      <c r="AY182" s="320">
        <v>0.3900821963348449</v>
      </c>
      <c r="AZ182" s="20">
        <f t="shared" si="383"/>
        <v>-0.2147286893</v>
      </c>
      <c r="BA182" s="321">
        <f t="shared" si="384"/>
        <v>-2.342653972</v>
      </c>
      <c r="BB182" s="320">
        <v>0.8821642938401709</v>
      </c>
      <c r="BC182" s="20">
        <f t="shared" si="385"/>
        <v>-0.9287230912</v>
      </c>
      <c r="BD182" s="321">
        <f t="shared" si="386"/>
        <v>-1.988260626</v>
      </c>
      <c r="BE182" s="320">
        <v>0.6682204438577675</v>
      </c>
      <c r="BF182" s="20">
        <f t="shared" si="387"/>
        <v>-0.4791503782</v>
      </c>
      <c r="BG182" s="321">
        <f t="shared" si="388"/>
        <v>-2.108890343</v>
      </c>
    </row>
    <row r="183" ht="15.75" hidden="1" customHeight="1">
      <c r="B183" s="319">
        <v>100.0</v>
      </c>
      <c r="C183" s="320">
        <v>0.6963417590657736</v>
      </c>
      <c r="D183" s="20">
        <f t="shared" si="371"/>
        <v>-0.5176149281</v>
      </c>
      <c r="E183" s="321">
        <f t="shared" si="372"/>
        <v>-2.15717756</v>
      </c>
      <c r="F183" s="320">
        <v>0.7539000000000001</v>
      </c>
      <c r="G183" s="20">
        <f t="shared" si="373"/>
        <v>-0.6088883863</v>
      </c>
      <c r="H183" s="321">
        <f t="shared" si="374"/>
        <v>-2.122686257</v>
      </c>
      <c r="I183" s="320">
        <v>0.9783754351666067</v>
      </c>
      <c r="J183" s="20">
        <f t="shared" si="375"/>
        <v>-1.665052623</v>
      </c>
      <c r="K183" s="321">
        <f t="shared" si="376"/>
        <v>-2.00949446</v>
      </c>
      <c r="Z183" s="382">
        <v>111.31182795698923</v>
      </c>
      <c r="AA183" s="320">
        <v>0.37535125703014083</v>
      </c>
      <c r="AB183" s="20">
        <f t="shared" si="377"/>
        <v>-0.2043641297</v>
      </c>
      <c r="AC183" s="321">
        <f t="shared" si="378"/>
        <v>-2.47210344</v>
      </c>
      <c r="AD183" s="320">
        <v>1.206891740191303</v>
      </c>
      <c r="AE183" s="20" t="str">
        <f t="shared" si="379"/>
        <v>#NUM!</v>
      </c>
      <c r="AF183" s="321">
        <f t="shared" si="380"/>
        <v>-1.964873</v>
      </c>
      <c r="AG183" s="320">
        <v>0.7263865081812106</v>
      </c>
      <c r="AH183" s="20">
        <f t="shared" si="381"/>
        <v>-0.5628624915</v>
      </c>
      <c r="AI183" s="321">
        <f t="shared" si="382"/>
        <v>-2.185373546</v>
      </c>
      <c r="AX183" s="382">
        <v>110.23655913978493</v>
      </c>
      <c r="AY183" s="320">
        <v>0.5006912395731925</v>
      </c>
      <c r="AZ183" s="20">
        <f t="shared" si="383"/>
        <v>-0.3016308141</v>
      </c>
      <c r="BA183" s="321">
        <f t="shared" si="384"/>
        <v>-2.342755656</v>
      </c>
      <c r="BB183" s="320">
        <v>1.0878334307238555</v>
      </c>
      <c r="BC183" s="20" t="str">
        <f t="shared" si="385"/>
        <v>#NUM!</v>
      </c>
      <c r="BD183" s="321">
        <f t="shared" si="386"/>
        <v>-2.005763248</v>
      </c>
      <c r="BE183" s="320">
        <v>0.7384549144366792</v>
      </c>
      <c r="BF183" s="20">
        <f t="shared" si="387"/>
        <v>-0.582453436</v>
      </c>
      <c r="BG183" s="321">
        <f t="shared" si="388"/>
        <v>-2.174001664</v>
      </c>
    </row>
    <row r="184" ht="15.75" hidden="1" customHeight="1">
      <c r="B184" s="319">
        <v>150.0</v>
      </c>
      <c r="C184" s="320">
        <v>0.9119828469515012</v>
      </c>
      <c r="D184" s="20">
        <f t="shared" si="371"/>
        <v>-1.055432683</v>
      </c>
      <c r="E184" s="321">
        <f t="shared" si="372"/>
        <v>-2.216104589</v>
      </c>
      <c r="F184" s="320">
        <v>0.7720781273826135</v>
      </c>
      <c r="G184" s="20">
        <f t="shared" si="373"/>
        <v>-0.6422139956</v>
      </c>
      <c r="H184" s="321">
        <f t="shared" si="374"/>
        <v>-2.28843001</v>
      </c>
      <c r="I184" s="320">
        <v>1.0008010699994638</v>
      </c>
      <c r="J184" s="20" t="str">
        <f t="shared" si="375"/>
        <v>#NUM!</v>
      </c>
      <c r="K184" s="321">
        <f t="shared" si="376"/>
        <v>-2.175743498</v>
      </c>
      <c r="Z184" s="382">
        <v>143.56989247311827</v>
      </c>
      <c r="AA184" s="320">
        <v>0.49414074233316757</v>
      </c>
      <c r="AB184" s="20">
        <f t="shared" si="377"/>
        <v>-0.2959702976</v>
      </c>
      <c r="AC184" s="321">
        <f t="shared" si="378"/>
        <v>-2.463212712</v>
      </c>
      <c r="AD184" s="320">
        <v>1.3355685721799337</v>
      </c>
      <c r="AE184" s="20" t="str">
        <f t="shared" si="379"/>
        <v>#NUM!</v>
      </c>
      <c r="AF184" s="321">
        <f t="shared" si="380"/>
        <v>-2.031397184</v>
      </c>
      <c r="AG184" s="320">
        <v>0.8296239628637947</v>
      </c>
      <c r="AH184" s="20">
        <f t="shared" si="381"/>
        <v>-0.7685914875</v>
      </c>
      <c r="AI184" s="321">
        <f t="shared" si="382"/>
        <v>-2.238182087</v>
      </c>
      <c r="AX184" s="382">
        <v>154.6810035842294</v>
      </c>
      <c r="AY184" s="320">
        <v>0.6906513330110013</v>
      </c>
      <c r="AZ184" s="20">
        <f t="shared" si="383"/>
        <v>-0.5095517511</v>
      </c>
      <c r="BA184" s="321">
        <f t="shared" si="384"/>
        <v>-2.350178127</v>
      </c>
      <c r="BB184" s="320">
        <v>1.1431429285892905</v>
      </c>
      <c r="BC184" s="20" t="str">
        <f t="shared" si="385"/>
        <v>#NUM!</v>
      </c>
      <c r="BD184" s="321">
        <f t="shared" si="386"/>
        <v>-2.131336447</v>
      </c>
      <c r="BE184" s="320">
        <v>0.8029078808349362</v>
      </c>
      <c r="BF184" s="20">
        <f t="shared" si="387"/>
        <v>-0.7053307409</v>
      </c>
      <c r="BG184" s="321">
        <f t="shared" si="388"/>
        <v>-2.28477126</v>
      </c>
    </row>
    <row r="185" ht="15.75" hidden="1" customHeight="1">
      <c r="B185" s="319">
        <v>250.0</v>
      </c>
      <c r="C185" s="322">
        <v>0.9496688741721857</v>
      </c>
      <c r="D185" s="323">
        <f t="shared" si="371"/>
        <v>-1.298163355</v>
      </c>
      <c r="E185" s="324">
        <f t="shared" si="372"/>
        <v>-2.420367805</v>
      </c>
      <c r="F185" s="322">
        <v>0.8464343512769329</v>
      </c>
      <c r="G185" s="323">
        <f t="shared" si="373"/>
        <v>-0.8137059213</v>
      </c>
      <c r="H185" s="324">
        <f t="shared" si="374"/>
        <v>-2.470346728</v>
      </c>
      <c r="I185" s="322">
        <v>0.9435934269561012</v>
      </c>
      <c r="J185" s="323">
        <f t="shared" si="375"/>
        <v>-1.248670285</v>
      </c>
      <c r="K185" s="324">
        <f t="shared" si="376"/>
        <v>-2.423155102</v>
      </c>
      <c r="Z185" s="385">
        <v>211.31182795698925</v>
      </c>
      <c r="AA185" s="322">
        <v>0.6619433739206178</v>
      </c>
      <c r="AB185" s="323">
        <f t="shared" si="377"/>
        <v>-0.4710105473</v>
      </c>
      <c r="AC185" s="324">
        <f t="shared" si="378"/>
        <v>-2.504102968</v>
      </c>
      <c r="AD185" s="322">
        <v>1.545126236571229</v>
      </c>
      <c r="AE185" s="323" t="str">
        <f t="shared" si="379"/>
        <v>#NUM!</v>
      </c>
      <c r="AF185" s="324">
        <f t="shared" si="380"/>
        <v>-2.13595984</v>
      </c>
      <c r="AG185" s="322">
        <v>0.9500068884960868</v>
      </c>
      <c r="AH185" s="323">
        <f t="shared" si="381"/>
        <v>-1.301089833</v>
      </c>
      <c r="AI185" s="324">
        <f t="shared" si="382"/>
        <v>-2.347197053</v>
      </c>
      <c r="AX185" s="385">
        <v>289.44802867383515</v>
      </c>
      <c r="AY185" s="322">
        <v>0.9520184959776864</v>
      </c>
      <c r="AZ185" s="323">
        <f t="shared" si="383"/>
        <v>-1.318926143</v>
      </c>
      <c r="BA185" s="324">
        <f t="shared" si="384"/>
        <v>-2.48292521</v>
      </c>
      <c r="BB185" s="322">
        <v>0.9887502231786464</v>
      </c>
      <c r="BC185" s="323">
        <f t="shared" si="385"/>
        <v>-1.948856093</v>
      </c>
      <c r="BD185" s="324">
        <f t="shared" si="386"/>
        <v>-2.466484002</v>
      </c>
      <c r="BE185" s="322">
        <v>0.965054062720452</v>
      </c>
      <c r="BF185" s="323">
        <f t="shared" si="387"/>
        <v>-1.456603307</v>
      </c>
      <c r="BG185" s="324">
        <f t="shared" si="388"/>
        <v>-2.477018953</v>
      </c>
    </row>
    <row r="186" ht="15.75" hidden="1" customHeight="1">
      <c r="B186" s="319">
        <v>350.0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>
      <c r="B192" s="166" t="s">
        <v>1002</v>
      </c>
      <c r="C192" s="167" t="s">
        <v>1003</v>
      </c>
      <c r="D192" s="167" t="s">
        <v>1004</v>
      </c>
      <c r="E192" s="168" t="s">
        <v>1005</v>
      </c>
      <c r="G192" s="166" t="s">
        <v>1006</v>
      </c>
      <c r="H192" s="167" t="s">
        <v>1007</v>
      </c>
      <c r="I192" s="167" t="s">
        <v>1008</v>
      </c>
      <c r="J192" s="168" t="s">
        <v>1009</v>
      </c>
      <c r="L192" s="166" t="s">
        <v>1010</v>
      </c>
      <c r="M192" s="167" t="s">
        <v>1011</v>
      </c>
      <c r="N192" s="167" t="s">
        <v>1012</v>
      </c>
      <c r="O192" s="168" t="s">
        <v>1013</v>
      </c>
      <c r="Z192" s="166" t="s">
        <v>1014</v>
      </c>
      <c r="AA192" s="167" t="s">
        <v>1015</v>
      </c>
      <c r="AB192" s="167" t="s">
        <v>1016</v>
      </c>
      <c r="AC192" s="168" t="s">
        <v>1017</v>
      </c>
      <c r="AE192" s="166" t="s">
        <v>1018</v>
      </c>
      <c r="AF192" s="167" t="s">
        <v>1019</v>
      </c>
      <c r="AG192" s="167" t="s">
        <v>1020</v>
      </c>
      <c r="AH192" s="168" t="s">
        <v>1021</v>
      </c>
      <c r="AJ192" s="166" t="s">
        <v>1022</v>
      </c>
      <c r="AK192" s="167" t="s">
        <v>1023</v>
      </c>
      <c r="AL192" s="167" t="s">
        <v>1024</v>
      </c>
      <c r="AM192" s="168" t="s">
        <v>1025</v>
      </c>
      <c r="AX192" s="166" t="s">
        <v>1026</v>
      </c>
      <c r="AY192" s="167" t="s">
        <v>1027</v>
      </c>
      <c r="AZ192" s="167" t="s">
        <v>1028</v>
      </c>
      <c r="BA192" s="168" t="s">
        <v>1029</v>
      </c>
      <c r="BC192" s="166" t="s">
        <v>1030</v>
      </c>
      <c r="BD192" s="167" t="s">
        <v>1031</v>
      </c>
      <c r="BE192" s="167" t="s">
        <v>1032</v>
      </c>
      <c r="BF192" s="168" t="s">
        <v>1033</v>
      </c>
      <c r="BH192" s="166" t="s">
        <v>1034</v>
      </c>
      <c r="BI192" s="167" t="s">
        <v>1035</v>
      </c>
      <c r="BJ192" s="167" t="s">
        <v>1036</v>
      </c>
      <c r="BK192" s="168" t="s">
        <v>1037</v>
      </c>
    </row>
    <row r="193" ht="15.75" customHeight="1">
      <c r="B193" s="230">
        <f>(-1.0068)</f>
        <v>-1.0068</v>
      </c>
      <c r="C193" s="411">
        <f>-(1/1.0068)</f>
        <v>-0.9932459277</v>
      </c>
      <c r="D193" s="412">
        <f>EXP(-(0.6151/1.0068))</f>
        <v>0.5428373356</v>
      </c>
      <c r="E193" s="105">
        <v>0.8562</v>
      </c>
      <c r="F193" s="61"/>
      <c r="G193" s="230">
        <f>(-0.3076)</f>
        <v>-0.3076</v>
      </c>
      <c r="H193" s="411">
        <f>-(1/0.3076)</f>
        <v>-3.250975293</v>
      </c>
      <c r="I193" s="425">
        <f>EXP(-(2.2882/0.3076))</f>
        <v>0.0005879423468</v>
      </c>
      <c r="J193" s="105">
        <v>0.8687</v>
      </c>
      <c r="K193" s="61"/>
      <c r="L193" s="230">
        <f>(-(-0.4404))</f>
        <v>0.4404</v>
      </c>
      <c r="M193" s="426">
        <f>-(1/0.1822)</f>
        <v>-5.488474204</v>
      </c>
      <c r="N193" s="412">
        <f>EXP(-(2.2816/0.1822))</f>
        <v>0.00000364372975</v>
      </c>
      <c r="O193" s="105"/>
      <c r="Z193" s="230">
        <v>-0.352</v>
      </c>
      <c r="AA193" s="411">
        <f>-(1/0.352)</f>
        <v>-2.840909091</v>
      </c>
      <c r="AB193" s="412">
        <f>EXP(-(2.9175/0.352))</f>
        <v>0.0002514284071</v>
      </c>
      <c r="AC193" s="105"/>
      <c r="AD193" s="61"/>
      <c r="AE193" s="230">
        <v>-0.1884</v>
      </c>
      <c r="AF193" s="411">
        <f>-(1/0.1884)</f>
        <v>-5.307855626</v>
      </c>
      <c r="AG193" s="427">
        <f>EXP(-(2.9394/0.1884))</f>
        <v>0.0000001675622642</v>
      </c>
      <c r="AH193" s="105"/>
      <c r="AI193" s="61"/>
      <c r="AJ193" s="230">
        <v>-0.2332</v>
      </c>
      <c r="AK193" s="411">
        <f>-(1/0.2332)</f>
        <v>-4.288164666</v>
      </c>
      <c r="AL193" s="428">
        <f>EXP(-(2.558/0.2332))</f>
        <v>0.00001722540525</v>
      </c>
      <c r="AM193" s="105"/>
      <c r="AN193" s="61"/>
      <c r="AX193" s="230">
        <v>-0.2795</v>
      </c>
      <c r="AY193" s="411">
        <f>-(1/0.2795)</f>
        <v>-3.577817531</v>
      </c>
      <c r="AZ193" s="419">
        <f>EXP(-(2.9609/0.2795))</f>
        <v>0.00002507698842</v>
      </c>
      <c r="BA193" s="105"/>
      <c r="BB193" s="61"/>
      <c r="BC193" s="230">
        <f>-(0.2347)</f>
        <v>-0.2347</v>
      </c>
      <c r="BD193" s="411">
        <f>-(1/(0.2347))</f>
        <v>-4.260758415</v>
      </c>
      <c r="BE193" s="419">
        <f>EXP(-(2.0808/0.2347))</f>
        <v>0.0001411360682</v>
      </c>
      <c r="BF193" s="105"/>
      <c r="BG193" s="61"/>
      <c r="BH193" s="230">
        <v>-0.0982</v>
      </c>
      <c r="BI193" s="411">
        <f>-(1/0.0982)</f>
        <v>-10.18329939</v>
      </c>
      <c r="BJ193" s="419">
        <f>EXP(-(2.7362/0.0982))</f>
        <v>0</v>
      </c>
      <c r="BK193" s="105"/>
    </row>
    <row r="194" ht="15.75" customHeight="1">
      <c r="B194" s="275" t="s">
        <v>1038</v>
      </c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2"/>
      <c r="Z194" s="275" t="s">
        <v>1039</v>
      </c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2"/>
      <c r="AX194" s="275" t="s">
        <v>1040</v>
      </c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2"/>
    </row>
    <row r="195" ht="15.75" customHeight="1">
      <c r="B195" s="278" t="s">
        <v>229</v>
      </c>
      <c r="C195" s="188"/>
      <c r="D195" s="188"/>
      <c r="E195" s="188"/>
      <c r="F195" s="189"/>
      <c r="G195" s="279" t="s">
        <v>230</v>
      </c>
      <c r="H195" s="91"/>
      <c r="I195" s="91"/>
      <c r="J195" s="91"/>
      <c r="K195" s="92"/>
      <c r="L195" s="278" t="s">
        <v>231</v>
      </c>
      <c r="M195" s="188"/>
      <c r="N195" s="188"/>
      <c r="O195" s="188"/>
      <c r="P195" s="189"/>
      <c r="Z195" s="278" t="s">
        <v>229</v>
      </c>
      <c r="AA195" s="188"/>
      <c r="AB195" s="188"/>
      <c r="AC195" s="188"/>
      <c r="AD195" s="189"/>
      <c r="AE195" s="279" t="s">
        <v>230</v>
      </c>
      <c r="AF195" s="91"/>
      <c r="AG195" s="91"/>
      <c r="AH195" s="91"/>
      <c r="AI195" s="92"/>
      <c r="AJ195" s="278" t="s">
        <v>231</v>
      </c>
      <c r="AK195" s="188"/>
      <c r="AL195" s="188"/>
      <c r="AM195" s="188"/>
      <c r="AN195" s="189"/>
      <c r="AX195" s="278" t="s">
        <v>229</v>
      </c>
      <c r="AY195" s="188"/>
      <c r="AZ195" s="188"/>
      <c r="BA195" s="188"/>
      <c r="BB195" s="189"/>
      <c r="BC195" s="279" t="s">
        <v>230</v>
      </c>
      <c r="BD195" s="91"/>
      <c r="BE195" s="91"/>
      <c r="BF195" s="91"/>
      <c r="BG195" s="92"/>
      <c r="BH195" s="278" t="s">
        <v>231</v>
      </c>
      <c r="BI195" s="188"/>
      <c r="BJ195" s="188"/>
      <c r="BK195" s="188"/>
      <c r="BL195" s="189"/>
    </row>
    <row r="196" ht="15.75" customHeight="1">
      <c r="A196" s="258" t="s">
        <v>168</v>
      </c>
      <c r="B196" s="166" t="s">
        <v>232</v>
      </c>
      <c r="C196" s="167" t="s">
        <v>233</v>
      </c>
      <c r="D196" s="193" t="s">
        <v>323</v>
      </c>
      <c r="E196" s="193" t="s">
        <v>358</v>
      </c>
      <c r="F196" s="168" t="s">
        <v>171</v>
      </c>
      <c r="G196" s="166" t="s">
        <v>232</v>
      </c>
      <c r="H196" s="167" t="s">
        <v>233</v>
      </c>
      <c r="I196" s="167" t="s">
        <v>681</v>
      </c>
      <c r="J196" s="194" t="s">
        <v>411</v>
      </c>
      <c r="K196" s="168" t="s">
        <v>171</v>
      </c>
      <c r="L196" s="166" t="s">
        <v>232</v>
      </c>
      <c r="M196" s="167" t="s">
        <v>233</v>
      </c>
      <c r="N196" s="167" t="s">
        <v>681</v>
      </c>
      <c r="O196" s="167" t="s">
        <v>411</v>
      </c>
      <c r="P196" s="168" t="s">
        <v>171</v>
      </c>
      <c r="Y196" s="258" t="s">
        <v>168</v>
      </c>
      <c r="Z196" s="166" t="s">
        <v>232</v>
      </c>
      <c r="AA196" s="167" t="s">
        <v>233</v>
      </c>
      <c r="AB196" s="193" t="s">
        <v>323</v>
      </c>
      <c r="AC196" s="193" t="s">
        <v>358</v>
      </c>
      <c r="AD196" s="168" t="s">
        <v>171</v>
      </c>
      <c r="AE196" s="166" t="s">
        <v>232</v>
      </c>
      <c r="AF196" s="167" t="s">
        <v>233</v>
      </c>
      <c r="AG196" s="167" t="s">
        <v>681</v>
      </c>
      <c r="AH196" s="194" t="s">
        <v>411</v>
      </c>
      <c r="AI196" s="168" t="s">
        <v>171</v>
      </c>
      <c r="AJ196" s="166" t="s">
        <v>232</v>
      </c>
      <c r="AK196" s="167" t="s">
        <v>233</v>
      </c>
      <c r="AL196" s="167" t="s">
        <v>681</v>
      </c>
      <c r="AM196" s="167" t="s">
        <v>411</v>
      </c>
      <c r="AN196" s="168" t="s">
        <v>171</v>
      </c>
      <c r="AW196" s="258" t="s">
        <v>168</v>
      </c>
      <c r="AX196" s="166" t="s">
        <v>232</v>
      </c>
      <c r="AY196" s="167" t="s">
        <v>233</v>
      </c>
      <c r="AZ196" s="193" t="s">
        <v>323</v>
      </c>
      <c r="BA196" s="193" t="s">
        <v>358</v>
      </c>
      <c r="BB196" s="168" t="s">
        <v>171</v>
      </c>
      <c r="BC196" s="166" t="s">
        <v>232</v>
      </c>
      <c r="BD196" s="167" t="s">
        <v>233</v>
      </c>
      <c r="BE196" s="167" t="s">
        <v>681</v>
      </c>
      <c r="BF196" s="194" t="s">
        <v>411</v>
      </c>
      <c r="BG196" s="168" t="s">
        <v>171</v>
      </c>
      <c r="BH196" s="166" t="s">
        <v>232</v>
      </c>
      <c r="BI196" s="167" t="s">
        <v>233</v>
      </c>
      <c r="BJ196" s="167" t="s">
        <v>681</v>
      </c>
      <c r="BK196" s="167" t="s">
        <v>411</v>
      </c>
      <c r="BL196" s="168" t="s">
        <v>171</v>
      </c>
    </row>
    <row r="197" ht="15.75" customHeight="1">
      <c r="A197" s="196">
        <v>100.0</v>
      </c>
      <c r="B197" s="151">
        <f t="shared" ref="B197:C197" si="389">B127</f>
        <v>11.40803109</v>
      </c>
      <c r="C197" s="11">
        <f t="shared" si="389"/>
        <v>17.60382087</v>
      </c>
      <c r="D197" s="11">
        <f t="shared" ref="D197:E197" si="390">LN(B197)</f>
        <v>2.434317589</v>
      </c>
      <c r="E197" s="11">
        <f t="shared" si="390"/>
        <v>2.868115973</v>
      </c>
      <c r="F197" s="201">
        <f t="shared" ref="F197:F200" si="409">EXP((LN($D$193)-LN(D197))/$C$193)</f>
        <v>4.530427012</v>
      </c>
      <c r="G197" s="151">
        <f t="shared" ref="G197:H197" si="391">G127</f>
        <v>10.56606218</v>
      </c>
      <c r="H197" s="11">
        <f t="shared" si="391"/>
        <v>17.77381457</v>
      </c>
      <c r="I197" s="11">
        <f t="shared" ref="I197:J197" si="392">LN(G197)</f>
        <v>2.357647183</v>
      </c>
      <c r="J197" s="11">
        <f t="shared" si="392"/>
        <v>2.877726283</v>
      </c>
      <c r="K197" s="201">
        <f t="shared" ref="K197:K200" si="412">EXP((LN($I$193)-LN(I197))/$H$193)</f>
        <v>12.83296816</v>
      </c>
      <c r="L197" s="151">
        <f t="shared" ref="L197:M197" si="393">L127</f>
        <v>26.6066494</v>
      </c>
      <c r="M197" s="11">
        <f t="shared" si="393"/>
        <v>14.57884391</v>
      </c>
      <c r="N197" s="11">
        <f t="shared" ref="N197:O197" si="394">LN(L197)</f>
        <v>3.281161162</v>
      </c>
      <c r="O197" s="11">
        <f t="shared" si="394"/>
        <v>2.67957143</v>
      </c>
      <c r="P197" s="260">
        <f t="shared" ref="P197:P200" si="415">EXP((LN($N$193)-LN(N197))/$M$193)</f>
        <v>12.15924227</v>
      </c>
      <c r="Y197" s="196">
        <v>100.0</v>
      </c>
      <c r="Z197" s="151">
        <f t="shared" ref="Z197:AA197" si="395">Z127</f>
        <v>7.306131261</v>
      </c>
      <c r="AA197" s="11">
        <f t="shared" si="395"/>
        <v>18.38624649</v>
      </c>
      <c r="AB197" s="11">
        <f t="shared" ref="AB197:AC197" si="396">LN(Z197)</f>
        <v>1.988713894</v>
      </c>
      <c r="AC197" s="11">
        <f t="shared" si="396"/>
        <v>2.911602912</v>
      </c>
      <c r="AD197" s="201">
        <f t="shared" ref="AD197:AD200" si="418">EXP((LN($AB$193)-LN(AB197))/$AA$193)</f>
        <v>23.55871527</v>
      </c>
      <c r="AE197" s="151">
        <f t="shared" ref="AE197:AF197" si="397">AE127</f>
        <v>22.41839378</v>
      </c>
      <c r="AF197" s="11">
        <f t="shared" si="397"/>
        <v>15.3878969</v>
      </c>
      <c r="AG197" s="11">
        <f t="shared" ref="AG197:AH197" si="398">LN(AE197)</f>
        <v>3.109881773</v>
      </c>
      <c r="AH197" s="11">
        <f t="shared" si="398"/>
        <v>2.733581285</v>
      </c>
      <c r="AI197" s="201">
        <f t="shared" ref="AI197:AI200" si="421">EXP((LN($AG$193)-LN(AG197))/$AF$193)</f>
        <v>23.40982391</v>
      </c>
      <c r="AJ197" s="151">
        <f t="shared" ref="AJ197:AK197" si="399">AJ127</f>
        <v>15.9201209</v>
      </c>
      <c r="AK197" s="11">
        <f t="shared" si="399"/>
        <v>16.72212047</v>
      </c>
      <c r="AL197" s="11">
        <f t="shared" ref="AL197:AM197" si="400">LN(AJ197)</f>
        <v>2.767583774</v>
      </c>
      <c r="AM197" s="11">
        <f t="shared" si="400"/>
        <v>2.816732422</v>
      </c>
      <c r="AN197" s="260">
        <f t="shared" ref="AN197:AN200" si="424">EXP((LN($AL$193)-LN(AL197))/$AK$193)</f>
        <v>16.36903908</v>
      </c>
      <c r="AW197" s="196">
        <v>100.0</v>
      </c>
      <c r="AX197" s="151">
        <f t="shared" ref="AX197:AY197" si="401">AX127</f>
        <v>15.5962867</v>
      </c>
      <c r="AY197" s="11">
        <f t="shared" si="401"/>
        <v>16.80063753</v>
      </c>
      <c r="AZ197" s="11">
        <f t="shared" ref="AZ197:BA197" si="402">LN(AX197)</f>
        <v>2.747032854</v>
      </c>
      <c r="BA197" s="11">
        <f t="shared" si="402"/>
        <v>2.821416834</v>
      </c>
      <c r="BB197" s="201">
        <f t="shared" ref="BB197:BB200" si="427">EXP((LN($AZ$193)-LN(AZ197))/$AY$193)</f>
        <v>25.61916546</v>
      </c>
      <c r="BC197" s="151">
        <f t="shared" ref="BC197:BD197" si="403">BC127</f>
        <v>16.17918826</v>
      </c>
      <c r="BD197" s="11">
        <f t="shared" si="403"/>
        <v>16.72442503</v>
      </c>
      <c r="BE197" s="11">
        <f t="shared" ref="BE197:BF197" si="404">LN(BC197)</f>
        <v>2.783725741</v>
      </c>
      <c r="BF197" s="11">
        <f t="shared" si="404"/>
        <v>2.816870227</v>
      </c>
      <c r="BG197" s="201">
        <f t="shared" ref="BG197:BG200" si="430">EXP((LN($BE$193)-LN(BE197))/$BD$193)</f>
        <v>10.18670629</v>
      </c>
      <c r="BH197" s="151">
        <f t="shared" ref="BH197:BI197" si="405">BH127</f>
        <v>11.42962003</v>
      </c>
      <c r="BI197" s="11">
        <f t="shared" si="405"/>
        <v>17.58450437</v>
      </c>
      <c r="BJ197" s="11">
        <f t="shared" ref="BJ197:BK197" si="406">LN(BH197)</f>
        <v>2.436208234</v>
      </c>
      <c r="BK197" s="11">
        <f t="shared" si="406"/>
        <v>2.867018081</v>
      </c>
      <c r="BL197" s="201">
        <f t="shared" ref="BL197:BL200" si="433">EXP((LN($BJ$193)-LN(BJ197))/$BI$193)</f>
        <v>16.8380547</v>
      </c>
    </row>
    <row r="198" ht="15.75" customHeight="1">
      <c r="A198" s="196">
        <v>200.0</v>
      </c>
      <c r="B198" s="151">
        <f t="shared" ref="B198:C198" si="407">B128</f>
        <v>17.85233161</v>
      </c>
      <c r="C198" s="11">
        <f t="shared" si="407"/>
        <v>35.96109985</v>
      </c>
      <c r="D198" s="11">
        <f t="shared" ref="D198:E198" si="408">LN(B198)</f>
        <v>2.882134122</v>
      </c>
      <c r="E198" s="11">
        <f t="shared" si="408"/>
        <v>3.582437795</v>
      </c>
      <c r="F198" s="201">
        <f t="shared" si="409"/>
        <v>5.370006105</v>
      </c>
      <c r="G198" s="151">
        <f t="shared" ref="G198:H198" si="410">G128</f>
        <v>28.13946459</v>
      </c>
      <c r="H198" s="11">
        <f t="shared" si="410"/>
        <v>33.9653403</v>
      </c>
      <c r="I198" s="11">
        <f t="shared" ref="I198:J198" si="411">LN(G198)</f>
        <v>3.337173025</v>
      </c>
      <c r="J198" s="11">
        <f t="shared" si="411"/>
        <v>3.525340602</v>
      </c>
      <c r="K198" s="201">
        <f t="shared" si="412"/>
        <v>14.28051695</v>
      </c>
      <c r="L198" s="151">
        <f t="shared" ref="L198:M198" si="413">L128</f>
        <v>101.369171</v>
      </c>
      <c r="M198" s="11">
        <f t="shared" si="413"/>
        <v>19.63547562</v>
      </c>
      <c r="N198" s="11">
        <f t="shared" ref="N198:O198" si="414">LN(L198)</f>
        <v>4.618769011</v>
      </c>
      <c r="O198" s="11">
        <f t="shared" si="414"/>
        <v>2.977337911</v>
      </c>
      <c r="P198" s="260">
        <f t="shared" si="415"/>
        <v>12.94085501</v>
      </c>
      <c r="Y198" s="196">
        <v>200.0</v>
      </c>
      <c r="Z198" s="151">
        <f t="shared" ref="Z198:AA198" si="416">Z128</f>
        <v>19.35276339</v>
      </c>
      <c r="AA198" s="11">
        <f t="shared" si="416"/>
        <v>35.82039089</v>
      </c>
      <c r="AB198" s="11">
        <f t="shared" ref="AB198:AC198" si="417">LN(Z198)</f>
        <v>2.96283522</v>
      </c>
      <c r="AC198" s="11">
        <f t="shared" si="417"/>
        <v>3.578517309</v>
      </c>
      <c r="AD198" s="260">
        <f t="shared" si="418"/>
        <v>27.10785728</v>
      </c>
      <c r="AE198" s="151">
        <f t="shared" ref="AE198:AF198" si="419">AE128</f>
        <v>74.36139896</v>
      </c>
      <c r="AF198" s="11">
        <f t="shared" si="419"/>
        <v>24.85595723</v>
      </c>
      <c r="AG198" s="11">
        <f t="shared" ref="AG198:AH198" si="420">LN(AE198)</f>
        <v>4.308936976</v>
      </c>
      <c r="AH198" s="11">
        <f t="shared" si="420"/>
        <v>3.213097451</v>
      </c>
      <c r="AI198" s="201">
        <f t="shared" si="421"/>
        <v>24.89318891</v>
      </c>
      <c r="AJ198" s="151">
        <f t="shared" ref="AJ198:AK198" si="422">AJ128</f>
        <v>89.53842832</v>
      </c>
      <c r="AK198" s="11">
        <f t="shared" si="422"/>
        <v>21.92964508</v>
      </c>
      <c r="AL198" s="11">
        <f t="shared" ref="AL198:AM198" si="423">LN(AJ198)</f>
        <v>4.4946679</v>
      </c>
      <c r="AM198" s="11">
        <f t="shared" si="423"/>
        <v>3.087839378</v>
      </c>
      <c r="AN198" s="260">
        <f t="shared" si="424"/>
        <v>18.32881412</v>
      </c>
      <c r="AW198" s="196">
        <v>200.0</v>
      </c>
      <c r="AX198" s="151">
        <f t="shared" ref="AX198:AY198" si="425">AX128</f>
        <v>30.29835924</v>
      </c>
      <c r="AY198" s="11">
        <f t="shared" si="425"/>
        <v>33.73824424</v>
      </c>
      <c r="AZ198" s="11">
        <f t="shared" ref="AZ198:BA198" si="426">LN(AX198)</f>
        <v>3.411093561</v>
      </c>
      <c r="BA198" s="11">
        <f t="shared" si="426"/>
        <v>3.518632038</v>
      </c>
      <c r="BB198" s="201">
        <f t="shared" si="427"/>
        <v>27.21737904</v>
      </c>
      <c r="BC198" s="151">
        <f t="shared" ref="BC198:BD198" si="428">BC128</f>
        <v>33.08333333</v>
      </c>
      <c r="BD198" s="11">
        <f t="shared" si="428"/>
        <v>33.25058984</v>
      </c>
      <c r="BE198" s="11">
        <f t="shared" ref="BE198:BF198" si="429">LN(BC198)</f>
        <v>3.499029631</v>
      </c>
      <c r="BF198" s="11">
        <f t="shared" si="429"/>
        <v>3.504072507</v>
      </c>
      <c r="BG198" s="201">
        <f t="shared" si="430"/>
        <v>10.74841594</v>
      </c>
      <c r="BH198" s="151">
        <f t="shared" ref="BH198:BI198" si="431">BH128</f>
        <v>117.906304</v>
      </c>
      <c r="BI198" s="11">
        <f t="shared" si="431"/>
        <v>16.28552673</v>
      </c>
      <c r="BJ198" s="11">
        <f t="shared" ref="BJ198:BK198" si="432">LN(BH198)</f>
        <v>4.769890275</v>
      </c>
      <c r="BK198" s="11">
        <f t="shared" si="432"/>
        <v>2.790276782</v>
      </c>
      <c r="BL198" s="201">
        <f t="shared" si="433"/>
        <v>17.98647611</v>
      </c>
    </row>
    <row r="199" ht="15.75" customHeight="1">
      <c r="A199" s="196">
        <v>300.0</v>
      </c>
      <c r="B199" s="151">
        <f t="shared" ref="B199:C199" si="434">B129</f>
        <v>21.80310881</v>
      </c>
      <c r="C199" s="11">
        <f t="shared" si="434"/>
        <v>55.46900186</v>
      </c>
      <c r="D199" s="11">
        <f t="shared" ref="D199:E199" si="435">LN(B199)</f>
        <v>3.082052566</v>
      </c>
      <c r="E199" s="11">
        <f t="shared" si="435"/>
        <v>4.01582434</v>
      </c>
      <c r="F199" s="201">
        <f t="shared" si="409"/>
        <v>5.745114513</v>
      </c>
      <c r="G199" s="151">
        <f t="shared" ref="G199:H199" si="436">G129</f>
        <v>97.87176166</v>
      </c>
      <c r="H199" s="11">
        <f t="shared" si="436"/>
        <v>40.16974957</v>
      </c>
      <c r="I199" s="11">
        <f t="shared" ref="I199:J199" si="437">LN(G199)</f>
        <v>4.583658067</v>
      </c>
      <c r="J199" s="11">
        <f t="shared" si="437"/>
        <v>3.693114214</v>
      </c>
      <c r="K199" s="201">
        <f t="shared" si="412"/>
        <v>15.74495813</v>
      </c>
      <c r="L199" s="151">
        <f t="shared" ref="L199:M199" si="438">L129</f>
        <v>247.1809154</v>
      </c>
      <c r="M199" s="11">
        <f t="shared" si="438"/>
        <v>10.48557971</v>
      </c>
      <c r="N199" s="11">
        <f t="shared" ref="N199:O199" si="439">LN(L199)</f>
        <v>5.510120519</v>
      </c>
      <c r="O199" s="11">
        <f t="shared" si="439"/>
        <v>2.350000952</v>
      </c>
      <c r="P199" s="260">
        <f t="shared" si="415"/>
        <v>13.36367305</v>
      </c>
      <c r="Y199" s="196">
        <v>300.0</v>
      </c>
      <c r="Z199" s="151">
        <f t="shared" ref="Z199:AA199" si="440">Z129</f>
        <v>54.9097582</v>
      </c>
      <c r="AA199" s="11">
        <f t="shared" si="440"/>
        <v>48.79049298</v>
      </c>
      <c r="AB199" s="11">
        <f t="shared" ref="AB199:AC199" si="441">LN(Z199)</f>
        <v>4.005691078</v>
      </c>
      <c r="AC199" s="11">
        <f t="shared" si="441"/>
        <v>3.887535478</v>
      </c>
      <c r="AD199" s="260">
        <f t="shared" si="418"/>
        <v>30.14370386</v>
      </c>
      <c r="AE199" s="151">
        <f t="shared" ref="AE199:AF199" si="442">AE129</f>
        <v>181.9822971</v>
      </c>
      <c r="AF199" s="11">
        <f t="shared" si="442"/>
        <v>23.55216851</v>
      </c>
      <c r="AG199" s="11">
        <f t="shared" ref="AG199:AH199" si="443">LN(AE199)</f>
        <v>5.203909413</v>
      </c>
      <c r="AH199" s="11">
        <f t="shared" si="443"/>
        <v>3.159217897</v>
      </c>
      <c r="AI199" s="201">
        <f t="shared" si="421"/>
        <v>25.79417969</v>
      </c>
      <c r="AJ199" s="151">
        <f t="shared" ref="AJ199:AK199" si="444">AJ129</f>
        <v>211.7318653</v>
      </c>
      <c r="AK199" s="11">
        <f t="shared" si="444"/>
        <v>17.52737012</v>
      </c>
      <c r="AL199" s="11">
        <f t="shared" ref="AL199:AM199" si="445">LN(AJ199)</f>
        <v>5.355320688</v>
      </c>
      <c r="AM199" s="11">
        <f t="shared" si="445"/>
        <v>2.863763666</v>
      </c>
      <c r="AN199" s="260">
        <f t="shared" si="424"/>
        <v>19.09317087</v>
      </c>
      <c r="AW199" s="196">
        <v>300.0</v>
      </c>
      <c r="AX199" s="151">
        <f t="shared" ref="AX199:AY199" si="446">AX129</f>
        <v>47.07297064</v>
      </c>
      <c r="AY199" s="11">
        <f t="shared" si="446"/>
        <v>50.42275114</v>
      </c>
      <c r="AZ199" s="11">
        <f t="shared" ref="AZ199:BA199" si="447">LN(AX199)</f>
        <v>3.851698965</v>
      </c>
      <c r="BA199" s="11">
        <f t="shared" si="447"/>
        <v>3.920442485</v>
      </c>
      <c r="BB199" s="201">
        <f t="shared" si="427"/>
        <v>28.15738763</v>
      </c>
      <c r="BC199" s="151">
        <f t="shared" ref="BC199:BD199" si="448">BC129</f>
        <v>84.14119171</v>
      </c>
      <c r="BD199" s="11">
        <f t="shared" si="448"/>
        <v>42.97718196</v>
      </c>
      <c r="BE199" s="11">
        <f t="shared" ref="BE199:BF199" si="449">LN(BC199)</f>
        <v>4.432496241</v>
      </c>
      <c r="BF199" s="11">
        <f t="shared" si="449"/>
        <v>3.760669323</v>
      </c>
      <c r="BG199" s="201">
        <f t="shared" si="430"/>
        <v>11.36183117</v>
      </c>
      <c r="BH199" s="151">
        <f t="shared" ref="BH199:BI199" si="450">BH129</f>
        <v>224.8795337</v>
      </c>
      <c r="BI199" s="11">
        <f t="shared" si="450"/>
        <v>14.93491057</v>
      </c>
      <c r="BJ199" s="11">
        <f t="shared" ref="BJ199:BK199" si="451">LN(BH199)</f>
        <v>5.415564853</v>
      </c>
      <c r="BK199" s="11">
        <f t="shared" si="451"/>
        <v>2.703701464</v>
      </c>
      <c r="BL199" s="201">
        <f t="shared" si="433"/>
        <v>18.21211478</v>
      </c>
    </row>
    <row r="200" ht="15.75" customHeight="1">
      <c r="A200" s="212">
        <v>400.0</v>
      </c>
      <c r="B200" s="213">
        <f t="shared" ref="B200:C200" si="452">B130</f>
        <v>43.69430052</v>
      </c>
      <c r="C200" s="214">
        <f t="shared" si="452"/>
        <v>70.2810306</v>
      </c>
      <c r="D200" s="214">
        <f t="shared" ref="D200:E200" si="453">LN(B200)</f>
        <v>3.777217671</v>
      </c>
      <c r="E200" s="214">
        <f t="shared" si="453"/>
        <v>4.252501927</v>
      </c>
      <c r="F200" s="376">
        <f t="shared" si="409"/>
        <v>7.050685096</v>
      </c>
      <c r="G200" s="213">
        <f t="shared" ref="G200:H200" si="454">G130</f>
        <v>173.1740069</v>
      </c>
      <c r="H200" s="214">
        <f t="shared" si="454"/>
        <v>44.88641406</v>
      </c>
      <c r="I200" s="214">
        <f t="shared" ref="I200:J200" si="455">LN(G200)</f>
        <v>5.154296909</v>
      </c>
      <c r="J200" s="214">
        <f t="shared" si="455"/>
        <v>3.804135167</v>
      </c>
      <c r="K200" s="376">
        <f t="shared" si="412"/>
        <v>16.32360025</v>
      </c>
      <c r="L200" s="213">
        <f t="shared" ref="L200:M200" si="456">L130</f>
        <v>381.8743523</v>
      </c>
      <c r="M200" s="214">
        <f t="shared" si="456"/>
        <v>3.621508026</v>
      </c>
      <c r="N200" s="214">
        <f t="shared" ref="N200:O200" si="457">LN(L200)</f>
        <v>5.945091634</v>
      </c>
      <c r="O200" s="214">
        <f t="shared" si="457"/>
        <v>1.286890521</v>
      </c>
      <c r="P200" s="267">
        <f t="shared" si="415"/>
        <v>13.54995891</v>
      </c>
      <c r="Y200" s="212">
        <v>400.0</v>
      </c>
      <c r="Z200" s="213">
        <f t="shared" ref="Z200:AA200" si="458">Z130</f>
        <v>131.5289292</v>
      </c>
      <c r="AA200" s="214">
        <f t="shared" si="458"/>
        <v>53.17745323</v>
      </c>
      <c r="AB200" s="214">
        <f t="shared" ref="AB200:AC200" si="459">LN(Z200)</f>
        <v>4.879226821</v>
      </c>
      <c r="AC200" s="214">
        <f t="shared" si="459"/>
        <v>3.973634495</v>
      </c>
      <c r="AD200" s="267">
        <f t="shared" si="418"/>
        <v>32.31124599</v>
      </c>
      <c r="AE200" s="213">
        <f t="shared" ref="AE200:AF200" si="460">AE130</f>
        <v>308.8821244</v>
      </c>
      <c r="AF200" s="214">
        <f t="shared" si="460"/>
        <v>17.9981963</v>
      </c>
      <c r="AG200" s="214">
        <f t="shared" ref="AG200:AH200" si="461">LN(AE200)</f>
        <v>5.73295973</v>
      </c>
      <c r="AH200" s="214">
        <f t="shared" si="461"/>
        <v>2.890271547</v>
      </c>
      <c r="AI200" s="376">
        <f t="shared" si="421"/>
        <v>26.26901468</v>
      </c>
      <c r="AJ200" s="213">
        <f t="shared" ref="AJ200:AK200" si="462">AJ130</f>
        <v>325.3005181</v>
      </c>
      <c r="AK200" s="214">
        <f t="shared" si="462"/>
        <v>14.89839885</v>
      </c>
      <c r="AL200" s="214">
        <f t="shared" ref="AL200:AM200" si="463">LN(AJ200)</f>
        <v>5.784749426</v>
      </c>
      <c r="AM200" s="214">
        <f t="shared" si="463"/>
        <v>2.701253747</v>
      </c>
      <c r="AN200" s="267">
        <f t="shared" si="424"/>
        <v>19.43972165</v>
      </c>
      <c r="AW200" s="212">
        <v>400.0</v>
      </c>
      <c r="AX200" s="213">
        <f t="shared" ref="AX200:AY200" si="464">AX130</f>
        <v>137.3579447</v>
      </c>
      <c r="AY200" s="214">
        <f t="shared" si="464"/>
        <v>52.38807784</v>
      </c>
      <c r="AZ200" s="214">
        <f t="shared" ref="AZ200:BA200" si="465">LN(AX200)</f>
        <v>4.922590254</v>
      </c>
      <c r="BA200" s="214">
        <f t="shared" si="465"/>
        <v>3.958679043</v>
      </c>
      <c r="BB200" s="376">
        <f t="shared" si="427"/>
        <v>30.155787</v>
      </c>
      <c r="BC200" s="213">
        <f t="shared" ref="BC200:BD200" si="466">BC130</f>
        <v>171.511658</v>
      </c>
      <c r="BD200" s="214">
        <f t="shared" si="466"/>
        <v>45.56161814</v>
      </c>
      <c r="BE200" s="214">
        <f t="shared" ref="BE200:BF200" si="467">LN(BC200)</f>
        <v>5.144651241</v>
      </c>
      <c r="BF200" s="214">
        <f t="shared" si="467"/>
        <v>3.819065655</v>
      </c>
      <c r="BG200" s="376">
        <f t="shared" si="430"/>
        <v>11.76617211</v>
      </c>
      <c r="BH200" s="213">
        <f t="shared" ref="BH200:BI200" si="468">BH130</f>
        <v>384.3570812</v>
      </c>
      <c r="BI200" s="214">
        <f t="shared" si="468"/>
        <v>3.130591643</v>
      </c>
      <c r="BJ200" s="214">
        <f t="shared" ref="BJ200:BK200" si="469">LN(BH200)</f>
        <v>5.951572019</v>
      </c>
      <c r="BK200" s="214">
        <f t="shared" si="469"/>
        <v>1.14122201</v>
      </c>
      <c r="BL200" s="376">
        <f t="shared" si="433"/>
        <v>18.38168814</v>
      </c>
    </row>
    <row r="201" ht="15.75" customHeight="1">
      <c r="A201" s="5"/>
      <c r="B201" s="141"/>
      <c r="C201" s="141"/>
      <c r="D201" s="141"/>
      <c r="E201" s="141"/>
      <c r="G201" s="141"/>
      <c r="H201" s="141"/>
      <c r="I201" s="65"/>
      <c r="J201" s="65"/>
      <c r="L201" s="141"/>
      <c r="M201" s="141"/>
      <c r="N201" s="65"/>
      <c r="O201" s="65"/>
      <c r="Y201" s="5"/>
      <c r="Z201" s="141"/>
      <c r="AA201" s="141"/>
      <c r="AB201" s="65"/>
      <c r="AC201" s="65"/>
      <c r="AD201" s="141"/>
      <c r="AE201" s="141"/>
      <c r="AF201" s="65"/>
      <c r="AG201" s="65"/>
      <c r="AH201" s="141"/>
      <c r="AI201" s="141"/>
      <c r="AJ201" s="65"/>
      <c r="AK201" s="65"/>
      <c r="AW201" s="5"/>
      <c r="AX201" s="141"/>
      <c r="AY201" s="141"/>
      <c r="AZ201" s="65"/>
      <c r="BA201" s="65"/>
      <c r="BB201" s="141"/>
      <c r="BC201" s="141"/>
      <c r="BD201" s="65"/>
      <c r="BE201" s="65"/>
      <c r="BF201" s="141"/>
      <c r="BG201" s="141"/>
      <c r="BH201" s="65"/>
      <c r="BI201" s="65"/>
    </row>
    <row r="202" ht="15.75" customHeight="1">
      <c r="A202" s="5"/>
      <c r="B202" s="141"/>
      <c r="C202" s="141"/>
      <c r="D202" s="141"/>
      <c r="E202" s="141"/>
      <c r="G202" s="141"/>
      <c r="H202" s="141"/>
      <c r="I202" s="65"/>
      <c r="J202" s="65"/>
      <c r="L202" s="141"/>
      <c r="M202" s="141"/>
      <c r="N202" s="65"/>
      <c r="O202" s="65"/>
      <c r="Y202" s="5"/>
      <c r="Z202" s="141"/>
      <c r="AA202" s="141"/>
      <c r="AB202" s="65"/>
      <c r="AC202" s="65"/>
      <c r="AD202" s="141"/>
      <c r="AE202" s="141"/>
      <c r="AF202" s="65"/>
      <c r="AG202" s="65"/>
      <c r="AH202" s="141"/>
      <c r="AI202" s="141"/>
      <c r="AJ202" s="65"/>
      <c r="AK202" s="65"/>
      <c r="AW202" s="5"/>
      <c r="AX202" s="141"/>
      <c r="AY202" s="141"/>
      <c r="AZ202" s="65"/>
      <c r="BA202" s="65"/>
      <c r="BB202" s="141"/>
      <c r="BC202" s="141"/>
      <c r="BD202" s="65"/>
      <c r="BE202" s="65"/>
      <c r="BF202" s="141"/>
      <c r="BG202" s="141"/>
      <c r="BH202" s="65"/>
      <c r="BI202" s="65"/>
    </row>
    <row r="203" ht="15.75" customHeight="1"/>
    <row r="204" ht="15.75" customHeight="1"/>
    <row r="205" ht="15.75" hidden="1" customHeight="1"/>
    <row r="206" ht="15.75" hidden="1" customHeight="1"/>
    <row r="207" ht="15.75" hidden="1" customHeight="1">
      <c r="B207" s="191" t="s">
        <v>1041</v>
      </c>
      <c r="C207" s="91"/>
      <c r="D207" s="91"/>
      <c r="E207" s="91"/>
      <c r="F207" s="91"/>
      <c r="G207" s="91"/>
      <c r="H207" s="91"/>
      <c r="I207" s="91"/>
      <c r="J207" s="92"/>
      <c r="Z207" s="191" t="s">
        <v>1042</v>
      </c>
      <c r="AA207" s="91"/>
      <c r="AB207" s="91"/>
      <c r="AC207" s="91"/>
      <c r="AD207" s="91"/>
      <c r="AE207" s="91"/>
      <c r="AF207" s="91"/>
      <c r="AG207" s="91"/>
      <c r="AH207" s="92"/>
      <c r="AX207" s="191" t="s">
        <v>1043</v>
      </c>
      <c r="AY207" s="91"/>
      <c r="AZ207" s="91"/>
      <c r="BA207" s="91"/>
      <c r="BB207" s="91"/>
      <c r="BC207" s="91"/>
      <c r="BD207" s="91"/>
      <c r="BE207" s="91"/>
      <c r="BF207" s="92"/>
    </row>
    <row r="208" ht="15.75" hidden="1" customHeight="1">
      <c r="B208" s="315" t="s">
        <v>229</v>
      </c>
      <c r="C208" s="314"/>
      <c r="D208" s="234"/>
      <c r="E208" s="187" t="s">
        <v>230</v>
      </c>
      <c r="F208" s="188"/>
      <c r="G208" s="189"/>
      <c r="H208" s="187" t="s">
        <v>231</v>
      </c>
      <c r="I208" s="188"/>
      <c r="J208" s="189"/>
      <c r="Z208" s="315" t="s">
        <v>229</v>
      </c>
      <c r="AA208" s="314"/>
      <c r="AB208" s="234"/>
      <c r="AC208" s="187" t="s">
        <v>230</v>
      </c>
      <c r="AD208" s="188"/>
      <c r="AE208" s="189"/>
      <c r="AF208" s="187" t="s">
        <v>231</v>
      </c>
      <c r="AG208" s="188"/>
      <c r="AH208" s="189"/>
      <c r="AX208" s="315" t="s">
        <v>229</v>
      </c>
      <c r="AY208" s="314"/>
      <c r="AZ208" s="234"/>
      <c r="BA208" s="187" t="s">
        <v>230</v>
      </c>
      <c r="BB208" s="188"/>
      <c r="BC208" s="189"/>
      <c r="BD208" s="187" t="s">
        <v>231</v>
      </c>
      <c r="BE208" s="188"/>
      <c r="BF208" s="189"/>
    </row>
    <row r="209" ht="15.75" hidden="1" customHeight="1">
      <c r="A209" s="258" t="s">
        <v>168</v>
      </c>
      <c r="B209" s="317" t="s">
        <v>232</v>
      </c>
      <c r="C209" s="50" t="s">
        <v>233</v>
      </c>
      <c r="D209" s="318" t="s">
        <v>682</v>
      </c>
      <c r="E209" s="317" t="s">
        <v>232</v>
      </c>
      <c r="F209" s="50" t="s">
        <v>233</v>
      </c>
      <c r="G209" s="318" t="s">
        <v>682</v>
      </c>
      <c r="H209" s="317" t="s">
        <v>232</v>
      </c>
      <c r="I209" s="50" t="s">
        <v>233</v>
      </c>
      <c r="J209" s="318" t="s">
        <v>682</v>
      </c>
      <c r="Y209" s="258" t="s">
        <v>168</v>
      </c>
      <c r="Z209" s="317" t="s">
        <v>232</v>
      </c>
      <c r="AA209" s="50" t="s">
        <v>233</v>
      </c>
      <c r="AB209" s="318" t="s">
        <v>682</v>
      </c>
      <c r="AC209" s="317" t="s">
        <v>232</v>
      </c>
      <c r="AD209" s="50" t="s">
        <v>233</v>
      </c>
      <c r="AE209" s="318" t="s">
        <v>682</v>
      </c>
      <c r="AF209" s="317" t="s">
        <v>232</v>
      </c>
      <c r="AG209" s="50" t="s">
        <v>233</v>
      </c>
      <c r="AH209" s="318" t="s">
        <v>682</v>
      </c>
      <c r="AW209" s="258" t="s">
        <v>168</v>
      </c>
      <c r="AX209" s="317" t="s">
        <v>232</v>
      </c>
      <c r="AY209" s="50" t="s">
        <v>233</v>
      </c>
      <c r="AZ209" s="318" t="s">
        <v>682</v>
      </c>
      <c r="BA209" s="317" t="s">
        <v>232</v>
      </c>
      <c r="BB209" s="50" t="s">
        <v>233</v>
      </c>
      <c r="BC209" s="318" t="s">
        <v>682</v>
      </c>
      <c r="BD209" s="317" t="s">
        <v>232</v>
      </c>
      <c r="BE209" s="50" t="s">
        <v>233</v>
      </c>
      <c r="BF209" s="318" t="s">
        <v>682</v>
      </c>
    </row>
    <row r="210" ht="15.75" hidden="1" customHeight="1">
      <c r="A210" s="319">
        <v>50.0</v>
      </c>
      <c r="B210" s="320">
        <v>2.5304659498207887</v>
      </c>
      <c r="C210" s="20">
        <v>8.448130922589387</v>
      </c>
      <c r="D210" s="321">
        <f t="shared" ref="D210:D214" si="470">LN(B210/C210)</f>
        <v>-1.205541769</v>
      </c>
      <c r="E210" s="320">
        <v>27.6200716845878</v>
      </c>
      <c r="F210" s="20">
        <v>5.050890008015365</v>
      </c>
      <c r="G210" s="321">
        <f t="shared" ref="G210:G214" si="471">LN(E210/F210)</f>
        <v>1.698978276</v>
      </c>
      <c r="H210" s="320">
        <v>12.924731182795696</v>
      </c>
      <c r="I210" s="20">
        <v>6.994899069379541</v>
      </c>
      <c r="J210" s="321">
        <f t="shared" ref="J210:J214" si="472">LN(H210/I210)</f>
        <v>0.6139614429</v>
      </c>
      <c r="Y210" s="319">
        <v>50.0</v>
      </c>
      <c r="Z210" s="151">
        <v>4.681003584229391</v>
      </c>
      <c r="AA210" s="11">
        <v>6.601273545336687</v>
      </c>
      <c r="AB210" s="321">
        <f t="shared" ref="AB210:AB214" si="473">LN(Z210/AA210)</f>
        <v>-0.3437500638</v>
      </c>
      <c r="AC210" s="353">
        <v>7.548387096774192</v>
      </c>
      <c r="AD210" s="11">
        <v>6.197318057836213</v>
      </c>
      <c r="AE210" s="321">
        <f t="shared" ref="AE210:AE214" si="474">LN(AC210/AD210)</f>
        <v>0.1972172837</v>
      </c>
      <c r="AF210" s="151">
        <v>15.97132616487455</v>
      </c>
      <c r="AG210" s="11">
        <v>5.075859199580501</v>
      </c>
      <c r="AH210" s="321">
        <f t="shared" ref="AH210:AH214" si="475">LN(AF210/AG210)</f>
        <v>1.146299189</v>
      </c>
      <c r="AW210" s="319">
        <v>50.0</v>
      </c>
      <c r="AX210" s="151">
        <v>2.351254480286738</v>
      </c>
      <c r="AY210" s="11">
        <v>7.230123505633468</v>
      </c>
      <c r="AZ210" s="321">
        <f t="shared" ref="AZ210:AZ214" si="476">LN(AX210/AY210)</f>
        <v>-1.123307111</v>
      </c>
      <c r="BA210" s="353">
        <v>9.519713261648745</v>
      </c>
      <c r="BB210" s="11">
        <v>6.326509740684451</v>
      </c>
      <c r="BC210" s="321">
        <f t="shared" ref="BC210:BC214" si="477">LN(BA210/BB210)</f>
        <v>0.4086160285</v>
      </c>
      <c r="BD210" s="151">
        <v>5.577060931899641</v>
      </c>
      <c r="BE210" s="11">
        <v>6.836149120802889</v>
      </c>
      <c r="BF210" s="321">
        <f t="shared" ref="BF210:BF214" si="478">LN(BD210/BE210)</f>
        <v>-0.2035626561</v>
      </c>
    </row>
    <row r="211" ht="15.75" hidden="1" customHeight="1">
      <c r="A211" s="319">
        <v>75.0</v>
      </c>
      <c r="B211" s="320">
        <v>2.3512544802867383</v>
      </c>
      <c r="C211" s="20">
        <v>13.04230785167831</v>
      </c>
      <c r="D211" s="321">
        <f t="shared" si="470"/>
        <v>-1.713249516</v>
      </c>
      <c r="E211" s="320">
        <v>57.189964157706086</v>
      </c>
      <c r="F211" s="20">
        <v>5.612546856856714</v>
      </c>
      <c r="G211" s="321">
        <f t="shared" si="471"/>
        <v>2.32137383</v>
      </c>
      <c r="H211" s="320">
        <v>32.63799283154122</v>
      </c>
      <c r="I211" s="20">
        <v>8.833198692120565</v>
      </c>
      <c r="J211" s="321">
        <f t="shared" si="472"/>
        <v>1.306959832</v>
      </c>
      <c r="Y211" s="319">
        <v>75.0</v>
      </c>
      <c r="Z211" s="151">
        <v>4.860215053763441</v>
      </c>
      <c r="AA211" s="11">
        <v>10.772858799528137</v>
      </c>
      <c r="AB211" s="321">
        <f t="shared" si="473"/>
        <v>-0.7959472103</v>
      </c>
      <c r="AC211" s="353">
        <v>16.688172043010752</v>
      </c>
      <c r="AD211" s="11">
        <v>9.218974999260887</v>
      </c>
      <c r="AE211" s="321">
        <f t="shared" si="474"/>
        <v>0.5934363476</v>
      </c>
      <c r="AF211" s="151">
        <v>32.817204301075265</v>
      </c>
      <c r="AG211" s="11">
        <v>7.046960748799184</v>
      </c>
      <c r="AH211" s="321">
        <f t="shared" si="475"/>
        <v>1.538356475</v>
      </c>
      <c r="AW211" s="319">
        <v>75.0</v>
      </c>
      <c r="AX211" s="151">
        <v>2.5304659498207887</v>
      </c>
      <c r="AY211" s="11">
        <v>11.019271082905224</v>
      </c>
      <c r="AZ211" s="321">
        <f t="shared" si="476"/>
        <v>-1.471242201</v>
      </c>
      <c r="BA211" s="353">
        <v>21.34767025089606</v>
      </c>
      <c r="BB211" s="11">
        <v>8.482348979232412</v>
      </c>
      <c r="BC211" s="321">
        <f t="shared" si="477"/>
        <v>0.9229551983</v>
      </c>
      <c r="BD211" s="151">
        <v>9.519713261648743</v>
      </c>
      <c r="BE211" s="11">
        <v>11.249502421847936</v>
      </c>
      <c r="BF211" s="321">
        <f t="shared" si="478"/>
        <v>-0.1669591697</v>
      </c>
    </row>
    <row r="212" ht="15.75" hidden="1" customHeight="1">
      <c r="A212" s="319">
        <v>100.0</v>
      </c>
      <c r="B212" s="320">
        <v>6.831541218637992</v>
      </c>
      <c r="C212" s="20">
        <v>14.567819227317436</v>
      </c>
      <c r="D212" s="321">
        <f t="shared" si="470"/>
        <v>-0.7572646311</v>
      </c>
      <c r="E212" s="320">
        <v>65.0</v>
      </c>
      <c r="F212" s="20">
        <v>7.0</v>
      </c>
      <c r="G212" s="321">
        <f t="shared" si="471"/>
        <v>2.228477121</v>
      </c>
      <c r="H212" s="320">
        <v>38.19354838709677</v>
      </c>
      <c r="I212" s="20">
        <v>10.49759050607947</v>
      </c>
      <c r="J212" s="321">
        <f t="shared" si="472"/>
        <v>1.291520856</v>
      </c>
      <c r="Y212" s="319">
        <v>100.0</v>
      </c>
      <c r="Z212" s="151">
        <v>5.935483870967742</v>
      </c>
      <c r="AA212" s="11">
        <v>13.901898408523735</v>
      </c>
      <c r="AB212" s="321">
        <f t="shared" si="473"/>
        <v>-0.8510768538</v>
      </c>
      <c r="AC212" s="353">
        <v>26.00716845878136</v>
      </c>
      <c r="AD212" s="11">
        <v>11.206051440959174</v>
      </c>
      <c r="AE212" s="321">
        <f t="shared" si="474"/>
        <v>0.8419182704</v>
      </c>
      <c r="AF212" s="151">
        <v>52.35125448028673</v>
      </c>
      <c r="AG212" s="11">
        <v>7.793846654304835</v>
      </c>
      <c r="AH212" s="321">
        <f t="shared" si="475"/>
        <v>1.904641368</v>
      </c>
      <c r="AW212" s="319">
        <v>100.0</v>
      </c>
      <c r="AX212" s="151">
        <v>2.8888888888888884</v>
      </c>
      <c r="AY212" s="11">
        <v>14.143820326926342</v>
      </c>
      <c r="AZ212" s="321">
        <f t="shared" si="476"/>
        <v>-1.588405842</v>
      </c>
      <c r="BA212" s="353">
        <v>31.025089605734763</v>
      </c>
      <c r="BB212" s="11">
        <v>10.459936833883226</v>
      </c>
      <c r="BC212" s="321">
        <f t="shared" si="477"/>
        <v>1.087243799</v>
      </c>
      <c r="BD212" s="151">
        <v>15.97132616487455</v>
      </c>
      <c r="BE212" s="11">
        <v>12.43190091644241</v>
      </c>
      <c r="BF212" s="321">
        <f t="shared" si="478"/>
        <v>0.2505291762</v>
      </c>
    </row>
    <row r="213" ht="15.75" hidden="1" customHeight="1">
      <c r="A213" s="319">
        <v>150.0</v>
      </c>
      <c r="B213" s="320">
        <v>12.387096774193548</v>
      </c>
      <c r="C213" s="20">
        <v>19.079139057562784</v>
      </c>
      <c r="D213" s="321">
        <f t="shared" si="470"/>
        <v>-0.4319401941</v>
      </c>
      <c r="E213" s="320">
        <v>100.55913978494621</v>
      </c>
      <c r="F213" s="20">
        <v>7.168784841064191</v>
      </c>
      <c r="G213" s="321">
        <f t="shared" si="471"/>
        <v>2.641009848</v>
      </c>
      <c r="H213" s="320">
        <v>73.49820788530465</v>
      </c>
      <c r="I213" s="20">
        <v>10.738208905573646</v>
      </c>
      <c r="J213" s="321">
        <f t="shared" si="472"/>
        <v>1.923452717</v>
      </c>
      <c r="Y213" s="319">
        <v>150.0</v>
      </c>
      <c r="Z213" s="151">
        <v>5.577060931899641</v>
      </c>
      <c r="AA213" s="11">
        <v>18.301508975302504</v>
      </c>
      <c r="AB213" s="321">
        <f t="shared" si="473"/>
        <v>-1.188321591</v>
      </c>
      <c r="AC213" s="353">
        <v>48.76702508960573</v>
      </c>
      <c r="AD213" s="11">
        <v>12.400822397213869</v>
      </c>
      <c r="AE213" s="321">
        <f t="shared" si="474"/>
        <v>1.369291576</v>
      </c>
      <c r="AF213" s="151">
        <v>76.00716845878135</v>
      </c>
      <c r="AG213" s="11">
        <v>8.901544665920543</v>
      </c>
      <c r="AH213" s="321">
        <f t="shared" si="475"/>
        <v>2.144602838</v>
      </c>
      <c r="AW213" s="319">
        <v>150.0</v>
      </c>
      <c r="AX213" s="151">
        <v>7.189964157706092</v>
      </c>
      <c r="AY213" s="11">
        <v>19.50992466132772</v>
      </c>
      <c r="AZ213" s="321">
        <f t="shared" si="476"/>
        <v>-0.9982371064</v>
      </c>
      <c r="BA213" s="353">
        <v>71.8853046594982</v>
      </c>
      <c r="BB213" s="11">
        <v>10.991758928743177</v>
      </c>
      <c r="BC213" s="321">
        <f t="shared" si="477"/>
        <v>1.877926054</v>
      </c>
      <c r="BD213" s="151">
        <v>53.24731182795699</v>
      </c>
      <c r="BE213" s="11">
        <v>13.516967690823842</v>
      </c>
      <c r="BF213" s="321">
        <f t="shared" si="478"/>
        <v>1.371001559</v>
      </c>
    </row>
    <row r="214" ht="15.75" hidden="1" customHeight="1">
      <c r="A214" s="319">
        <v>250.0</v>
      </c>
      <c r="B214" s="322">
        <v>48.767025089605724</v>
      </c>
      <c r="C214" s="323">
        <v>19.867549668874176</v>
      </c>
      <c r="D214" s="324">
        <f t="shared" si="470"/>
        <v>0.8979666382</v>
      </c>
      <c r="E214" s="322">
        <v>138.55197132616485</v>
      </c>
      <c r="F214" s="323">
        <v>7.8591861771302955</v>
      </c>
      <c r="G214" s="324">
        <f t="shared" si="471"/>
        <v>2.869562438</v>
      </c>
      <c r="H214" s="322">
        <v>121.16845878136199</v>
      </c>
      <c r="I214" s="323">
        <v>10.124392993091213</v>
      </c>
      <c r="J214" s="324">
        <f t="shared" si="472"/>
        <v>2.482234139</v>
      </c>
      <c r="Y214" s="319">
        <v>250.0</v>
      </c>
      <c r="Z214" s="213">
        <v>25.111111111111114</v>
      </c>
      <c r="AA214" s="214">
        <v>24.516421256319177</v>
      </c>
      <c r="AB214" s="324">
        <f t="shared" si="473"/>
        <v>0.02396727355</v>
      </c>
      <c r="AC214" s="377">
        <v>103.06810035842292</v>
      </c>
      <c r="AD214" s="214">
        <v>14.34657601273193</v>
      </c>
      <c r="AE214" s="324">
        <f t="shared" si="474"/>
        <v>1.97187863</v>
      </c>
      <c r="AF214" s="213">
        <v>134.43010752688173</v>
      </c>
      <c r="AG214" s="214">
        <v>10.193206958112519</v>
      </c>
      <c r="AH214" s="324">
        <f t="shared" si="475"/>
        <v>2.579322903</v>
      </c>
      <c r="AW214" s="319">
        <v>250.0</v>
      </c>
      <c r="AX214" s="213">
        <v>86.93906810035841</v>
      </c>
      <c r="AY214" s="214">
        <v>26.893177852477017</v>
      </c>
      <c r="AZ214" s="324">
        <f t="shared" si="476"/>
        <v>1.173334864</v>
      </c>
      <c r="BA214" s="377">
        <v>217.40501792114696</v>
      </c>
      <c r="BB214" s="214">
        <v>9.507213684410061</v>
      </c>
      <c r="BC214" s="324">
        <f t="shared" si="477"/>
        <v>3.12971121</v>
      </c>
      <c r="BD214" s="213">
        <v>167.2258064516129</v>
      </c>
      <c r="BE214" s="214">
        <v>16.2467013926002</v>
      </c>
      <c r="BF214" s="324">
        <f t="shared" si="478"/>
        <v>2.331455137</v>
      </c>
    </row>
    <row r="215" ht="15.75" hidden="1" customHeight="1">
      <c r="A215" s="319">
        <v>350.0</v>
      </c>
      <c r="Y215" s="319">
        <v>350.0</v>
      </c>
      <c r="AW215" s="319">
        <v>350.0</v>
      </c>
    </row>
    <row r="216" ht="15.75" hidden="1" customHeight="1"/>
    <row r="217" ht="15.75" hidden="1" customHeight="1"/>
    <row r="218" ht="15.75" customHeight="1"/>
    <row r="219" ht="15.75" customHeight="1"/>
    <row r="220" ht="15.75" customHeight="1"/>
    <row r="221" ht="15.75" customHeight="1">
      <c r="AZ221" s="1" t="s">
        <v>807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1">
    <mergeCell ref="AX108:AZ108"/>
    <mergeCell ref="BA108:BC108"/>
    <mergeCell ref="AX124:BL124"/>
    <mergeCell ref="AX125:BB125"/>
    <mergeCell ref="BC125:BG125"/>
    <mergeCell ref="BH125:BL125"/>
    <mergeCell ref="AY136:BG136"/>
    <mergeCell ref="AY137:BA137"/>
    <mergeCell ref="BB137:BD137"/>
    <mergeCell ref="BE137:BG137"/>
    <mergeCell ref="AX152:BI152"/>
    <mergeCell ref="AX153:BA153"/>
    <mergeCell ref="BB153:BE153"/>
    <mergeCell ref="BF153:BI153"/>
    <mergeCell ref="AD82:AG82"/>
    <mergeCell ref="AH82:AK82"/>
    <mergeCell ref="B94:M94"/>
    <mergeCell ref="Z94:AK94"/>
    <mergeCell ref="B95:E95"/>
    <mergeCell ref="F95:I95"/>
    <mergeCell ref="J95:M95"/>
    <mergeCell ref="AH95:AK95"/>
    <mergeCell ref="Z95:AC95"/>
    <mergeCell ref="AD95:AG95"/>
    <mergeCell ref="B107:J107"/>
    <mergeCell ref="AX107:BF107"/>
    <mergeCell ref="B108:D108"/>
    <mergeCell ref="E108:G108"/>
    <mergeCell ref="H108:J108"/>
    <mergeCell ref="BD108:BF108"/>
    <mergeCell ref="Z107:AH107"/>
    <mergeCell ref="Z108:AB108"/>
    <mergeCell ref="AC108:AE108"/>
    <mergeCell ref="AF108:AH108"/>
    <mergeCell ref="B124:P124"/>
    <mergeCell ref="Z124:AN124"/>
    <mergeCell ref="B125:F125"/>
    <mergeCell ref="AJ125:AN125"/>
    <mergeCell ref="G125:K125"/>
    <mergeCell ref="L125:P125"/>
    <mergeCell ref="C136:K136"/>
    <mergeCell ref="C137:E137"/>
    <mergeCell ref="F137:H137"/>
    <mergeCell ref="I137:K137"/>
    <mergeCell ref="B152:P152"/>
    <mergeCell ref="BE179:BG179"/>
    <mergeCell ref="AX194:BL194"/>
    <mergeCell ref="AX165:BF165"/>
    <mergeCell ref="AX166:AZ166"/>
    <mergeCell ref="BA166:BC166"/>
    <mergeCell ref="BD166:BF166"/>
    <mergeCell ref="AY178:BG178"/>
    <mergeCell ref="AY179:BA179"/>
    <mergeCell ref="BB179:BD179"/>
    <mergeCell ref="L195:P195"/>
    <mergeCell ref="Z195:AD195"/>
    <mergeCell ref="AE195:AI195"/>
    <mergeCell ref="AJ195:AN195"/>
    <mergeCell ref="AX195:BB195"/>
    <mergeCell ref="BC195:BG195"/>
    <mergeCell ref="BH195:BL195"/>
    <mergeCell ref="AX4:BA4"/>
    <mergeCell ref="BB4:BE4"/>
    <mergeCell ref="AX16:BL16"/>
    <mergeCell ref="AX17:BB17"/>
    <mergeCell ref="BC17:BG17"/>
    <mergeCell ref="BH17:BL17"/>
    <mergeCell ref="AX29:BK29"/>
    <mergeCell ref="AX30:AZ30"/>
    <mergeCell ref="BC30:BE30"/>
    <mergeCell ref="BH30:BJ30"/>
    <mergeCell ref="AX42:BK42"/>
    <mergeCell ref="AX43:BA43"/>
    <mergeCell ref="BC43:BF43"/>
    <mergeCell ref="BH43:BK43"/>
    <mergeCell ref="Z43:AC43"/>
    <mergeCell ref="AE43:AH43"/>
    <mergeCell ref="B55:M55"/>
    <mergeCell ref="Z55:AK55"/>
    <mergeCell ref="B56:E56"/>
    <mergeCell ref="F56:I56"/>
    <mergeCell ref="J56:M56"/>
    <mergeCell ref="AH56:AK56"/>
    <mergeCell ref="Z56:AC56"/>
    <mergeCell ref="AD56:AG56"/>
    <mergeCell ref="B68:M68"/>
    <mergeCell ref="Z68:AK68"/>
    <mergeCell ref="B69:D69"/>
    <mergeCell ref="J69:L69"/>
    <mergeCell ref="Z69:AB69"/>
    <mergeCell ref="AX82:BA82"/>
    <mergeCell ref="BB82:BE82"/>
    <mergeCell ref="B81:M81"/>
    <mergeCell ref="Z81:AK81"/>
    <mergeCell ref="AX81:BI81"/>
    <mergeCell ref="B82:E82"/>
    <mergeCell ref="F82:I82"/>
    <mergeCell ref="J82:M82"/>
    <mergeCell ref="Z82:AC82"/>
    <mergeCell ref="BF82:BI82"/>
    <mergeCell ref="B3:M3"/>
    <mergeCell ref="Z3:AK3"/>
    <mergeCell ref="AX3:BI3"/>
    <mergeCell ref="B4:E4"/>
    <mergeCell ref="F4:I4"/>
    <mergeCell ref="J4:M4"/>
    <mergeCell ref="Z4:AC4"/>
    <mergeCell ref="BF4:BI4"/>
    <mergeCell ref="AD4:AG4"/>
    <mergeCell ref="AH4:AK4"/>
    <mergeCell ref="B16:P16"/>
    <mergeCell ref="Z16:AN16"/>
    <mergeCell ref="B17:F17"/>
    <mergeCell ref="G17:K17"/>
    <mergeCell ref="L17:P17"/>
    <mergeCell ref="AJ17:AN17"/>
    <mergeCell ref="Z17:AD17"/>
    <mergeCell ref="AE17:AI17"/>
    <mergeCell ref="B29:O29"/>
    <mergeCell ref="Z29:AM29"/>
    <mergeCell ref="B30:D30"/>
    <mergeCell ref="G30:I30"/>
    <mergeCell ref="L30:N30"/>
    <mergeCell ref="AJ30:AL30"/>
    <mergeCell ref="Z30:AB30"/>
    <mergeCell ref="AE30:AG30"/>
    <mergeCell ref="B42:O42"/>
    <mergeCell ref="Z42:AM42"/>
    <mergeCell ref="B43:E43"/>
    <mergeCell ref="G43:J43"/>
    <mergeCell ref="L43:O43"/>
    <mergeCell ref="AJ43:AM43"/>
    <mergeCell ref="AD69:AF69"/>
    <mergeCell ref="AH69:AJ69"/>
    <mergeCell ref="BF69:BH69"/>
    <mergeCell ref="AX94:BI94"/>
    <mergeCell ref="AX95:BA95"/>
    <mergeCell ref="BB95:BE95"/>
    <mergeCell ref="BF95:BI95"/>
    <mergeCell ref="AX55:BI55"/>
    <mergeCell ref="AX56:BA56"/>
    <mergeCell ref="BB56:BE56"/>
    <mergeCell ref="BF56:BI56"/>
    <mergeCell ref="AX68:BI68"/>
    <mergeCell ref="AX69:AZ69"/>
    <mergeCell ref="BB69:BD69"/>
    <mergeCell ref="Z153:AC153"/>
    <mergeCell ref="AD153:AG153"/>
    <mergeCell ref="AH153:AK153"/>
    <mergeCell ref="Z125:AD125"/>
    <mergeCell ref="AE125:AI125"/>
    <mergeCell ref="AA136:AI136"/>
    <mergeCell ref="AA137:AC137"/>
    <mergeCell ref="AD137:AF137"/>
    <mergeCell ref="AG137:AI137"/>
    <mergeCell ref="Z152:AK152"/>
    <mergeCell ref="Z165:AH165"/>
    <mergeCell ref="Z166:AB166"/>
    <mergeCell ref="AC166:AE166"/>
    <mergeCell ref="AF166:AH166"/>
    <mergeCell ref="AA178:AI178"/>
    <mergeCell ref="AA179:AC179"/>
    <mergeCell ref="AD179:AF179"/>
    <mergeCell ref="AX208:AZ208"/>
    <mergeCell ref="BA208:BC208"/>
    <mergeCell ref="AG179:AI179"/>
    <mergeCell ref="Z194:AN194"/>
    <mergeCell ref="Z207:AH207"/>
    <mergeCell ref="AX207:BF207"/>
    <mergeCell ref="Z208:AB208"/>
    <mergeCell ref="AC208:AE208"/>
    <mergeCell ref="AF208:AH208"/>
    <mergeCell ref="BD208:BF208"/>
    <mergeCell ref="B153:F153"/>
    <mergeCell ref="G153:K153"/>
    <mergeCell ref="L153:P153"/>
    <mergeCell ref="B165:J165"/>
    <mergeCell ref="B166:D166"/>
    <mergeCell ref="E166:G166"/>
    <mergeCell ref="H166:J166"/>
    <mergeCell ref="B207:J207"/>
    <mergeCell ref="B208:D208"/>
    <mergeCell ref="E208:G208"/>
    <mergeCell ref="H208:J208"/>
    <mergeCell ref="C178:K178"/>
    <mergeCell ref="C179:E179"/>
    <mergeCell ref="F179:H179"/>
    <mergeCell ref="I179:K179"/>
    <mergeCell ref="B194:P194"/>
    <mergeCell ref="B195:F195"/>
    <mergeCell ref="G195:K19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10.71"/>
    <col customWidth="1" min="9" max="26" width="8.71"/>
  </cols>
  <sheetData>
    <row r="5">
      <c r="A5" s="145" t="s">
        <v>167</v>
      </c>
      <c r="B5" s="27"/>
      <c r="C5" s="27"/>
      <c r="D5" s="27"/>
      <c r="E5" s="27"/>
      <c r="F5" s="27"/>
      <c r="G5" s="27"/>
      <c r="H5" s="27"/>
      <c r="I5" s="8"/>
    </row>
    <row r="6">
      <c r="A6" s="135" t="s">
        <v>168</v>
      </c>
      <c r="B6" s="135" t="s">
        <v>169</v>
      </c>
      <c r="C6" s="135" t="s">
        <v>170</v>
      </c>
      <c r="D6" s="48" t="s">
        <v>171</v>
      </c>
      <c r="E6" s="27"/>
      <c r="F6" s="27"/>
      <c r="G6" s="27"/>
      <c r="H6" s="27"/>
      <c r="I6" s="8"/>
    </row>
    <row r="7">
      <c r="A7" s="137"/>
      <c r="B7" s="137"/>
      <c r="C7" s="137"/>
      <c r="D7" s="138" t="s">
        <v>172</v>
      </c>
      <c r="E7" s="138" t="s">
        <v>173</v>
      </c>
      <c r="F7" s="138" t="s">
        <v>174</v>
      </c>
      <c r="G7" s="138" t="s">
        <v>175</v>
      </c>
      <c r="H7" s="138" t="s">
        <v>176</v>
      </c>
      <c r="I7" s="138" t="s">
        <v>177</v>
      </c>
    </row>
    <row r="8">
      <c r="A8" s="139">
        <v>100.0</v>
      </c>
      <c r="B8" s="140">
        <v>11.4080310880829</v>
      </c>
      <c r="C8" s="140">
        <v>17.603820865804767</v>
      </c>
      <c r="D8" s="11">
        <v>21.85566969375261</v>
      </c>
      <c r="E8" s="11">
        <v>21.453577758281057</v>
      </c>
      <c r="F8" s="11">
        <v>20.690673562948724</v>
      </c>
      <c r="G8" s="11">
        <v>15.374603551275868</v>
      </c>
      <c r="H8" s="11">
        <v>20.281390139488117</v>
      </c>
      <c r="I8" s="11">
        <v>4.530427012118456</v>
      </c>
    </row>
    <row r="9">
      <c r="A9" s="139">
        <v>200.0</v>
      </c>
      <c r="B9" s="11">
        <v>17.852331606217614</v>
      </c>
      <c r="C9" s="11">
        <v>35.961099852681066</v>
      </c>
      <c r="D9" s="11">
        <v>33.620636660008564</v>
      </c>
      <c r="E9" s="11">
        <v>33.674912107136464</v>
      </c>
      <c r="F9" s="11">
        <v>38.42286482457246</v>
      </c>
      <c r="G9" s="11">
        <v>39.277984101477664</v>
      </c>
      <c r="H9" s="11">
        <v>25.674522635914897</v>
      </c>
      <c r="I9" s="11">
        <v>5.370006104567991</v>
      </c>
    </row>
    <row r="10">
      <c r="A10" s="139">
        <v>300.0</v>
      </c>
      <c r="B10" s="11">
        <v>21.803108808290155</v>
      </c>
      <c r="C10" s="11">
        <v>55.469001859093055</v>
      </c>
      <c r="D10" s="11">
        <v>40.637687205695464</v>
      </c>
      <c r="E10" s="11">
        <v>41.18322450776854</v>
      </c>
      <c r="F10" s="11">
        <v>46.33903543660482</v>
      </c>
      <c r="G10" s="11">
        <v>48.945632660809764</v>
      </c>
      <c r="H10" s="11">
        <v>30.029035984736755</v>
      </c>
      <c r="I10" s="11">
        <v>5.745114513295665</v>
      </c>
    </row>
    <row r="11">
      <c r="A11" s="139">
        <v>400.0</v>
      </c>
      <c r="B11" s="11">
        <v>43.69430051813471</v>
      </c>
      <c r="C11" s="11">
        <v>70.28103059685586</v>
      </c>
      <c r="D11" s="11">
        <v>77.03888577270011</v>
      </c>
      <c r="E11" s="11">
        <v>82.92389248895059</v>
      </c>
      <c r="F11" s="11">
        <v>73.86548810551034</v>
      </c>
      <c r="G11" s="11">
        <v>69.02526344083266</v>
      </c>
      <c r="H11" s="11">
        <v>101.0</v>
      </c>
      <c r="I11" s="11">
        <v>7.050685095824509</v>
      </c>
    </row>
    <row r="12">
      <c r="A12" s="5"/>
      <c r="B12" s="141"/>
      <c r="C12" s="141"/>
      <c r="D12" s="141"/>
      <c r="E12" s="141"/>
      <c r="F12" s="141"/>
      <c r="G12" s="141"/>
      <c r="H12" s="141"/>
    </row>
    <row r="13">
      <c r="A13" s="5"/>
      <c r="B13" s="141"/>
      <c r="C13" s="141"/>
      <c r="D13" s="141"/>
      <c r="E13" s="141"/>
      <c r="F13" s="141"/>
      <c r="G13" s="141"/>
      <c r="H13" s="141"/>
    </row>
    <row r="14">
      <c r="A14" s="5"/>
      <c r="B14" s="141"/>
      <c r="C14" s="141"/>
      <c r="D14" s="141"/>
      <c r="E14" s="141"/>
      <c r="F14" s="141"/>
      <c r="G14" s="141"/>
      <c r="H14" s="141"/>
    </row>
    <row r="15">
      <c r="A15" s="5"/>
      <c r="B15" s="141"/>
      <c r="C15" s="141"/>
      <c r="D15" s="141"/>
      <c r="E15" s="141"/>
      <c r="F15" s="141"/>
      <c r="G15" s="141"/>
      <c r="H15" s="141"/>
    </row>
    <row r="20">
      <c r="A20" s="145" t="s">
        <v>178</v>
      </c>
      <c r="B20" s="27"/>
      <c r="C20" s="27"/>
      <c r="D20" s="27"/>
      <c r="E20" s="27"/>
      <c r="F20" s="27"/>
      <c r="G20" s="27"/>
      <c r="H20" s="27"/>
      <c r="I20" s="8"/>
    </row>
    <row r="21" ht="15.75" customHeight="1">
      <c r="A21" s="135" t="s">
        <v>168</v>
      </c>
      <c r="B21" s="135" t="s">
        <v>169</v>
      </c>
      <c r="C21" s="135" t="s">
        <v>170</v>
      </c>
      <c r="D21" s="48" t="s">
        <v>171</v>
      </c>
      <c r="E21" s="27"/>
      <c r="F21" s="27"/>
      <c r="G21" s="27"/>
      <c r="H21" s="27"/>
      <c r="I21" s="8"/>
    </row>
    <row r="22" ht="15.75" customHeight="1">
      <c r="A22" s="137"/>
      <c r="B22" s="137"/>
      <c r="C22" s="137"/>
      <c r="D22" s="138" t="s">
        <v>172</v>
      </c>
      <c r="E22" s="138" t="s">
        <v>173</v>
      </c>
      <c r="F22" s="138" t="s">
        <v>174</v>
      </c>
      <c r="G22" s="138" t="s">
        <v>175</v>
      </c>
      <c r="H22" s="138" t="s">
        <v>176</v>
      </c>
      <c r="I22" s="138" t="s">
        <v>177</v>
      </c>
    </row>
    <row r="23" ht="15.75" customHeight="1">
      <c r="A23" s="142">
        <v>100.0</v>
      </c>
      <c r="B23" s="11">
        <v>10.566062176165802</v>
      </c>
      <c r="C23" s="11">
        <v>17.773814572261706</v>
      </c>
      <c r="D23" s="11">
        <v>19.013822025311203</v>
      </c>
      <c r="E23" s="11">
        <v>20.358964665572845</v>
      </c>
      <c r="F23" s="11">
        <v>20.570487483229183</v>
      </c>
      <c r="G23" s="11">
        <v>16.241192544544663</v>
      </c>
      <c r="H23" s="11">
        <v>19.7945160163625</v>
      </c>
      <c r="I23" s="11">
        <v>12.83296816197786</v>
      </c>
    </row>
    <row r="24" ht="15.75" customHeight="1">
      <c r="A24" s="142">
        <v>200.0</v>
      </c>
      <c r="B24" s="11">
        <v>28.139464594127805</v>
      </c>
      <c r="C24" s="11">
        <v>33.96534030472646</v>
      </c>
      <c r="D24" s="11">
        <v>30.72131378292927</v>
      </c>
      <c r="E24" s="11">
        <v>27.51753637793645</v>
      </c>
      <c r="F24" s="11">
        <v>29.466639130347716</v>
      </c>
      <c r="G24" s="11">
        <v>36.06677977833057</v>
      </c>
      <c r="H24" s="11">
        <v>24.24380747335466</v>
      </c>
      <c r="I24" s="11">
        <v>14.280516952881547</v>
      </c>
    </row>
    <row r="25" ht="15.75" customHeight="1">
      <c r="A25" s="142">
        <v>300.0</v>
      </c>
      <c r="B25" s="11">
        <v>97.87176165803108</v>
      </c>
      <c r="C25" s="11">
        <v>40.16974956932511</v>
      </c>
      <c r="D25" s="11">
        <v>41.72797570358971</v>
      </c>
      <c r="E25" s="11">
        <v>40.37627204904856</v>
      </c>
      <c r="F25" s="11">
        <v>40.7873409326222</v>
      </c>
      <c r="G25" s="11">
        <v>40.99091501731348</v>
      </c>
      <c r="H25" s="11">
        <v>40.20361823314697</v>
      </c>
      <c r="I25" s="11">
        <v>15.744958130272641</v>
      </c>
    </row>
    <row r="26" ht="15.75" customHeight="1">
      <c r="A26" s="142">
        <v>400.0</v>
      </c>
      <c r="B26" s="11">
        <v>173.17400690846284</v>
      </c>
      <c r="C26" s="11">
        <v>44.8864140629349</v>
      </c>
      <c r="D26" s="11">
        <v>44.5272729616278</v>
      </c>
      <c r="E26" s="11">
        <v>48.12350824937313</v>
      </c>
      <c r="F26" s="11">
        <v>45.96993995976848</v>
      </c>
      <c r="G26" s="11">
        <v>41.322138116763206</v>
      </c>
      <c r="H26" s="11">
        <v>90.15428836512886</v>
      </c>
      <c r="I26" s="11">
        <v>16.32360025214696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145" t="s">
        <v>179</v>
      </c>
      <c r="B35" s="27"/>
      <c r="C35" s="27"/>
      <c r="D35" s="27"/>
      <c r="E35" s="27"/>
      <c r="F35" s="27"/>
      <c r="G35" s="27"/>
      <c r="H35" s="27"/>
      <c r="I35" s="8"/>
    </row>
    <row r="36" ht="15.75" customHeight="1">
      <c r="A36" s="143" t="s">
        <v>168</v>
      </c>
      <c r="B36" s="135" t="s">
        <v>169</v>
      </c>
      <c r="C36" s="135" t="s">
        <v>170</v>
      </c>
      <c r="D36" s="48" t="s">
        <v>171</v>
      </c>
      <c r="E36" s="27"/>
      <c r="F36" s="27"/>
      <c r="G36" s="27"/>
      <c r="H36" s="27"/>
      <c r="I36" s="8"/>
    </row>
    <row r="37" ht="15.75" customHeight="1">
      <c r="A37" s="137"/>
      <c r="B37" s="137"/>
      <c r="C37" s="137"/>
      <c r="D37" s="138" t="s">
        <v>172</v>
      </c>
      <c r="E37" s="138" t="s">
        <v>173</v>
      </c>
      <c r="F37" s="138" t="s">
        <v>174</v>
      </c>
      <c r="G37" s="138" t="s">
        <v>175</v>
      </c>
      <c r="H37" s="138" t="s">
        <v>176</v>
      </c>
      <c r="I37" s="138" t="s">
        <v>177</v>
      </c>
    </row>
    <row r="38" ht="15.75" customHeight="1">
      <c r="A38" s="142">
        <v>100.0</v>
      </c>
      <c r="B38" s="11">
        <v>26.606649395509496</v>
      </c>
      <c r="C38" s="11">
        <v>14.578843905942414</v>
      </c>
      <c r="D38" s="11">
        <v>-2.2937764296490832</v>
      </c>
      <c r="E38" s="11">
        <v>20.278429709747932</v>
      </c>
      <c r="F38" s="11">
        <v>18.07996720465652</v>
      </c>
      <c r="G38" s="11">
        <v>5.07728399961508</v>
      </c>
      <c r="H38" s="11" t="s">
        <v>184</v>
      </c>
      <c r="I38" s="11">
        <v>12.159242269942649</v>
      </c>
    </row>
    <row r="39" ht="15.75" customHeight="1">
      <c r="A39" s="142">
        <v>200.0</v>
      </c>
      <c r="B39" s="11">
        <v>101.36917098445595</v>
      </c>
      <c r="C39" s="11">
        <v>19.635475618639155</v>
      </c>
      <c r="D39" s="11">
        <v>10.825511027698271</v>
      </c>
      <c r="E39" s="11">
        <v>11.25120516120909</v>
      </c>
      <c r="F39" s="11">
        <v>12.927501768681928</v>
      </c>
      <c r="G39" s="11">
        <v>8.435302009018121</v>
      </c>
      <c r="H39" s="11">
        <v>7.298980363305506</v>
      </c>
      <c r="I39" s="11">
        <v>12.94085501209797</v>
      </c>
    </row>
    <row r="40" ht="15.75" customHeight="1">
      <c r="A40" s="142">
        <v>300.0</v>
      </c>
      <c r="B40" s="11">
        <v>247.1809153713299</v>
      </c>
      <c r="C40" s="11">
        <v>10.48557970562811</v>
      </c>
      <c r="D40" s="11">
        <v>4.919069330859361</v>
      </c>
      <c r="E40" s="11">
        <v>7.598296247171443</v>
      </c>
      <c r="F40" s="11">
        <v>9.494015759221885</v>
      </c>
      <c r="G40" s="11">
        <v>8.710749784448756</v>
      </c>
      <c r="H40" s="11">
        <v>5.234233197353074</v>
      </c>
      <c r="I40" s="11">
        <v>13.363673054222014</v>
      </c>
    </row>
    <row r="41" ht="15.75" customHeight="1">
      <c r="A41" s="142">
        <v>400.0</v>
      </c>
      <c r="B41" s="11">
        <v>381.8743523316062</v>
      </c>
      <c r="C41" s="11">
        <v>3.6215080256531094</v>
      </c>
      <c r="D41" s="11">
        <v>4.338615111736967</v>
      </c>
      <c r="E41" s="11">
        <v>6.273677873298138</v>
      </c>
      <c r="F41" s="11">
        <v>7.8185070262078</v>
      </c>
      <c r="G41" s="11">
        <v>8.743889408260843</v>
      </c>
      <c r="H41" s="11">
        <v>4.706105985199344</v>
      </c>
      <c r="I41" s="11">
        <v>13.549958911098145</v>
      </c>
    </row>
    <row r="42" ht="15.75" customHeight="1"/>
    <row r="43" ht="15.75" customHeight="1"/>
    <row r="44" ht="15.75" customHeight="1"/>
    <row r="45" ht="15.75" customHeight="1"/>
    <row r="46" ht="3.0" customHeight="1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5.75" customHeight="1"/>
    <row r="48" ht="15.75" customHeight="1"/>
    <row r="49" ht="15.75" customHeight="1"/>
    <row r="50" ht="15.75" customHeight="1"/>
    <row r="51" ht="15.75" customHeight="1">
      <c r="A51" s="145" t="s">
        <v>180</v>
      </c>
      <c r="B51" s="27"/>
      <c r="C51" s="27"/>
      <c r="D51" s="27"/>
      <c r="E51" s="27"/>
      <c r="F51" s="27"/>
      <c r="G51" s="27"/>
      <c r="H51" s="27"/>
      <c r="I51" s="8"/>
    </row>
    <row r="52" ht="15.75" customHeight="1">
      <c r="A52" s="135" t="s">
        <v>168</v>
      </c>
      <c r="B52" s="135" t="s">
        <v>169</v>
      </c>
      <c r="C52" s="135" t="s">
        <v>170</v>
      </c>
      <c r="D52" s="48" t="s">
        <v>171</v>
      </c>
      <c r="E52" s="27"/>
      <c r="F52" s="27"/>
      <c r="G52" s="27"/>
      <c r="H52" s="27"/>
      <c r="I52" s="8"/>
    </row>
    <row r="53" ht="15.75" customHeight="1">
      <c r="A53" s="137"/>
      <c r="B53" s="137"/>
      <c r="C53" s="137"/>
      <c r="D53" s="138" t="s">
        <v>172</v>
      </c>
      <c r="E53" s="138" t="s">
        <v>173</v>
      </c>
      <c r="F53" s="138" t="s">
        <v>174</v>
      </c>
      <c r="G53" s="138" t="s">
        <v>175</v>
      </c>
      <c r="H53" s="138" t="s">
        <v>176</v>
      </c>
      <c r="I53" s="138" t="s">
        <v>177</v>
      </c>
    </row>
    <row r="54" ht="15.75" customHeight="1">
      <c r="A54" s="139">
        <v>100.0</v>
      </c>
      <c r="B54" s="11">
        <v>7.306131260794473</v>
      </c>
      <c r="C54" s="11">
        <v>18.386246492994655</v>
      </c>
      <c r="D54" s="11">
        <v>20.484080923801667</v>
      </c>
      <c r="E54" s="11">
        <v>21.22957172628291</v>
      </c>
      <c r="F54" s="11">
        <v>21.18393024719337</v>
      </c>
      <c r="G54" s="11">
        <v>18.901356811716763</v>
      </c>
      <c r="H54" s="11">
        <v>20.529834270458196</v>
      </c>
      <c r="I54" s="11">
        <v>23.55871527189414</v>
      </c>
    </row>
    <row r="55" ht="15.75" customHeight="1">
      <c r="A55" s="139">
        <v>200.0</v>
      </c>
      <c r="B55" s="11">
        <v>19.352763385146805</v>
      </c>
      <c r="C55" s="11">
        <v>35.82039089049831</v>
      </c>
      <c r="D55" s="11">
        <v>34.542363583635556</v>
      </c>
      <c r="E55" s="11">
        <v>30.208533008866112</v>
      </c>
      <c r="F55" s="11">
        <v>33.01463374545753</v>
      </c>
      <c r="G55" s="11">
        <v>41.851439069715404</v>
      </c>
      <c r="H55" s="11">
        <v>25.59467388836133</v>
      </c>
      <c r="I55" s="11">
        <v>27.107857279264696</v>
      </c>
    </row>
    <row r="56" ht="15.75" customHeight="1">
      <c r="A56" s="139">
        <v>300.0</v>
      </c>
      <c r="B56" s="11">
        <v>54.90975820379965</v>
      </c>
      <c r="C56" s="11">
        <v>48.79049298040561</v>
      </c>
      <c r="D56" s="11">
        <v>47.28810238542934</v>
      </c>
      <c r="E56" s="11">
        <v>44.06838097396527</v>
      </c>
      <c r="F56" s="11">
        <v>45.68011813964789</v>
      </c>
      <c r="G56" s="11">
        <v>47.488915193831154</v>
      </c>
      <c r="H56" s="11">
        <v>40.13828380170826</v>
      </c>
      <c r="I56" s="11">
        <v>30.143703855660462</v>
      </c>
    </row>
    <row r="57" ht="15.75" customHeight="1">
      <c r="A57" s="139">
        <v>400.0</v>
      </c>
      <c r="B57" s="140">
        <v>131.5289291882556</v>
      </c>
      <c r="C57" s="140">
        <v>53.17745322683496</v>
      </c>
      <c r="D57" s="11">
        <v>53.55327597316129</v>
      </c>
      <c r="E57" s="11">
        <v>60.464101983624516</v>
      </c>
      <c r="F57" s="11">
        <v>56.289209744078384</v>
      </c>
      <c r="G57" s="11">
        <v>48.22239178099645</v>
      </c>
      <c r="H57" s="140" t="s">
        <v>184</v>
      </c>
      <c r="I57" s="11">
        <v>32.31124599025853</v>
      </c>
    </row>
    <row r="58" ht="15.75" customHeight="1">
      <c r="A58" s="5"/>
      <c r="B58" s="141"/>
      <c r="C58" s="141"/>
      <c r="D58" s="141"/>
      <c r="E58" s="141"/>
      <c r="F58" s="141"/>
      <c r="G58" s="141"/>
      <c r="H58" s="141"/>
    </row>
    <row r="59" ht="15.75" customHeight="1">
      <c r="A59" s="5"/>
      <c r="B59" s="141"/>
      <c r="C59" s="141"/>
      <c r="D59" s="141"/>
      <c r="E59" s="141"/>
      <c r="F59" s="141"/>
      <c r="G59" s="141"/>
      <c r="H59" s="141"/>
    </row>
    <row r="60" ht="15.75" customHeight="1">
      <c r="A60" s="5"/>
      <c r="B60" s="141"/>
      <c r="C60" s="141"/>
      <c r="D60" s="141"/>
      <c r="E60" s="141"/>
      <c r="F60" s="141"/>
      <c r="G60" s="141"/>
      <c r="H60" s="141"/>
    </row>
    <row r="61" ht="15.75" customHeight="1">
      <c r="A61" s="5"/>
      <c r="B61" s="141"/>
      <c r="C61" s="141"/>
      <c r="D61" s="141"/>
      <c r="E61" s="141"/>
      <c r="F61" s="141"/>
      <c r="G61" s="141"/>
      <c r="H61" s="141"/>
    </row>
    <row r="62" ht="15.75" customHeight="1"/>
    <row r="63" ht="15.75" customHeight="1"/>
    <row r="64" ht="15.75" customHeight="1"/>
    <row r="65" ht="15.75" customHeight="1"/>
    <row r="66" ht="15.75" customHeight="1">
      <c r="A66" s="145" t="s">
        <v>181</v>
      </c>
      <c r="B66" s="27"/>
      <c r="C66" s="27"/>
      <c r="D66" s="27"/>
      <c r="E66" s="27"/>
      <c r="F66" s="27"/>
      <c r="G66" s="27"/>
      <c r="H66" s="27"/>
      <c r="I66" s="8"/>
    </row>
    <row r="67" ht="15.75" customHeight="1">
      <c r="A67" s="143" t="s">
        <v>168</v>
      </c>
      <c r="B67" s="135" t="s">
        <v>169</v>
      </c>
      <c r="C67" s="135" t="s">
        <v>170</v>
      </c>
      <c r="D67" s="48" t="s">
        <v>171</v>
      </c>
      <c r="E67" s="27"/>
      <c r="F67" s="27"/>
      <c r="G67" s="27"/>
      <c r="H67" s="27"/>
      <c r="I67" s="8"/>
    </row>
    <row r="68" ht="15.75" customHeight="1">
      <c r="A68" s="137"/>
      <c r="B68" s="137"/>
      <c r="C68" s="137"/>
      <c r="D68" s="138" t="s">
        <v>172</v>
      </c>
      <c r="E68" s="138" t="s">
        <v>173</v>
      </c>
      <c r="F68" s="138" t="s">
        <v>174</v>
      </c>
      <c r="G68" s="138" t="s">
        <v>175</v>
      </c>
      <c r="H68" s="138" t="s">
        <v>176</v>
      </c>
      <c r="I68" s="138" t="s">
        <v>177</v>
      </c>
    </row>
    <row r="69" ht="15.75" customHeight="1">
      <c r="A69" s="142">
        <v>100.0</v>
      </c>
      <c r="B69" s="11">
        <v>22.41839378238342</v>
      </c>
      <c r="C69" s="11">
        <v>15.38789690482218</v>
      </c>
      <c r="D69" s="11">
        <v>45.966491498044974</v>
      </c>
      <c r="E69" s="11">
        <v>17.88985863011103</v>
      </c>
      <c r="F69" s="11">
        <v>18.444889802279803</v>
      </c>
      <c r="G69" s="11">
        <v>15.388593039980805</v>
      </c>
      <c r="H69" s="11">
        <v>16.953354611915568</v>
      </c>
      <c r="I69" s="11">
        <v>23.40982390882118</v>
      </c>
    </row>
    <row r="70" ht="15.75" customHeight="1">
      <c r="A70" s="142">
        <v>200.0</v>
      </c>
      <c r="B70" s="11">
        <v>74.36139896373055</v>
      </c>
      <c r="C70" s="11">
        <v>24.855957225441188</v>
      </c>
      <c r="D70" s="11">
        <v>22.233424505078098</v>
      </c>
      <c r="E70" s="11">
        <v>19.634351879990938</v>
      </c>
      <c r="F70" s="11">
        <v>20.069609602570715</v>
      </c>
      <c r="G70" s="11">
        <v>21.375123794886562</v>
      </c>
      <c r="H70" s="11">
        <v>18.717329322921703</v>
      </c>
      <c r="I70" s="11">
        <v>24.893188907133148</v>
      </c>
    </row>
    <row r="71" ht="15.75" customHeight="1">
      <c r="A71" s="142">
        <v>300.0</v>
      </c>
      <c r="B71" s="11">
        <v>181.98229706390327</v>
      </c>
      <c r="C71" s="11">
        <v>23.55216850880898</v>
      </c>
      <c r="D71" s="11">
        <v>19.64461064736956</v>
      </c>
      <c r="E71" s="11">
        <v>21.046421385229475</v>
      </c>
      <c r="F71" s="11">
        <v>21.282297255246725</v>
      </c>
      <c r="G71" s="11">
        <v>21.98768995281532</v>
      </c>
      <c r="H71" s="11">
        <v>20.463787568462745</v>
      </c>
      <c r="I71" s="11">
        <v>25.794179685722206</v>
      </c>
    </row>
    <row r="72" ht="15.75" customHeight="1">
      <c r="A72" s="142">
        <v>400.0</v>
      </c>
      <c r="B72" s="11">
        <v>308.88212435233163</v>
      </c>
      <c r="C72" s="11">
        <v>17.99819629778662</v>
      </c>
      <c r="D72" s="11">
        <v>19.016068516890837</v>
      </c>
      <c r="E72" s="11">
        <v>21.928449216118473</v>
      </c>
      <c r="F72" s="11">
        <v>21.999160433512987</v>
      </c>
      <c r="G72" s="11">
        <v>22.06981836808813</v>
      </c>
      <c r="H72" s="11">
        <v>21.75842610069102</v>
      </c>
      <c r="I72" s="11">
        <v>26.269014678965675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A81" s="145" t="s">
        <v>182</v>
      </c>
      <c r="B81" s="27"/>
      <c r="C81" s="27"/>
      <c r="D81" s="27"/>
      <c r="E81" s="27"/>
      <c r="F81" s="27"/>
      <c r="G81" s="27"/>
      <c r="H81" s="27"/>
      <c r="I81" s="8"/>
    </row>
    <row r="82" ht="15.75" customHeight="1">
      <c r="A82" s="135" t="s">
        <v>168</v>
      </c>
      <c r="B82" s="135" t="s">
        <v>169</v>
      </c>
      <c r="C82" s="135" t="s">
        <v>170</v>
      </c>
      <c r="D82" s="48" t="s">
        <v>171</v>
      </c>
      <c r="E82" s="27"/>
      <c r="F82" s="27"/>
      <c r="G82" s="27"/>
      <c r="H82" s="27"/>
      <c r="I82" s="8"/>
    </row>
    <row r="83" ht="15.75" customHeight="1">
      <c r="A83" s="137"/>
      <c r="B83" s="137"/>
      <c r="C83" s="137"/>
      <c r="D83" s="138" t="s">
        <v>172</v>
      </c>
      <c r="E83" s="138" t="s">
        <v>173</v>
      </c>
      <c r="F83" s="138" t="s">
        <v>174</v>
      </c>
      <c r="G83" s="138" t="s">
        <v>175</v>
      </c>
      <c r="H83" s="138" t="s">
        <v>176</v>
      </c>
      <c r="I83" s="138" t="s">
        <v>177</v>
      </c>
    </row>
    <row r="84" ht="15.75" customHeight="1">
      <c r="A84" s="142">
        <v>100.0</v>
      </c>
      <c r="B84" s="140">
        <v>15.920120898100173</v>
      </c>
      <c r="C84" s="140">
        <v>16.72212047454209</v>
      </c>
      <c r="D84" s="140">
        <v>-172.62488043698622</v>
      </c>
      <c r="E84" s="11">
        <v>18.39469975094902</v>
      </c>
      <c r="F84" s="11">
        <v>18.491402267983613</v>
      </c>
      <c r="G84" s="11">
        <v>16.648915485002114</v>
      </c>
      <c r="H84" s="11">
        <v>18.31619017989938</v>
      </c>
      <c r="I84" s="11">
        <v>16.369039082798764</v>
      </c>
    </row>
    <row r="85" ht="15.75" customHeight="1">
      <c r="A85" s="142">
        <v>200.0</v>
      </c>
      <c r="B85" s="140">
        <v>89.53842832469775</v>
      </c>
      <c r="C85" s="140">
        <v>21.92964508092598</v>
      </c>
      <c r="D85" s="140">
        <v>18.249092299700767</v>
      </c>
      <c r="E85" s="11">
        <v>17.63868359848512</v>
      </c>
      <c r="F85" s="11">
        <v>17.81144924781501</v>
      </c>
      <c r="G85" s="11">
        <v>17.825884010271928</v>
      </c>
      <c r="H85" s="11">
        <v>17.45861834748403</v>
      </c>
      <c r="I85" s="11">
        <v>18.32881412332699</v>
      </c>
    </row>
    <row r="86" ht="15.75" customHeight="1">
      <c r="A86" s="142">
        <v>300.0</v>
      </c>
      <c r="B86" s="140">
        <v>211.73186528497408</v>
      </c>
      <c r="C86" s="140">
        <v>17.52737012453615</v>
      </c>
      <c r="D86" s="140">
        <v>16.03617000688873</v>
      </c>
      <c r="E86" s="11">
        <v>17.27362132791469</v>
      </c>
      <c r="F86" s="11">
        <v>17.472610245227703</v>
      </c>
      <c r="G86" s="11">
        <v>17.860245561456335</v>
      </c>
      <c r="H86" s="11">
        <v>17.073911701673122</v>
      </c>
      <c r="I86" s="11">
        <v>19.09317087047867</v>
      </c>
    </row>
    <row r="87" ht="15.75" customHeight="1">
      <c r="A87" s="142">
        <v>400.0</v>
      </c>
      <c r="B87" s="140">
        <v>325.300518134715</v>
      </c>
      <c r="C87" s="149">
        <v>14.898398845502712</v>
      </c>
      <c r="D87" s="140">
        <v>15.553674570791243</v>
      </c>
      <c r="E87" s="11">
        <v>17.094306259238007</v>
      </c>
      <c r="F87" s="11">
        <v>17.303544150878118</v>
      </c>
      <c r="G87" s="11">
        <v>17.8645917770939</v>
      </c>
      <c r="H87" s="11">
        <v>16.891231845219902</v>
      </c>
      <c r="I87" s="11">
        <v>19.43972165105933</v>
      </c>
    </row>
    <row r="88" ht="15.75" customHeight="1"/>
    <row r="89" ht="15.75" customHeight="1"/>
    <row r="90" ht="15.75" customHeight="1"/>
    <row r="91" ht="15.75" customHeight="1"/>
    <row r="92" ht="3.0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5.75" customHeight="1"/>
    <row r="94" ht="15.75" customHeight="1"/>
    <row r="95" ht="15.75" customHeight="1"/>
    <row r="96" ht="15.75" customHeight="1"/>
    <row r="97" ht="15.75" customHeight="1">
      <c r="A97" s="145" t="s">
        <v>183</v>
      </c>
      <c r="B97" s="27"/>
      <c r="C97" s="27"/>
      <c r="D97" s="27"/>
      <c r="E97" s="27"/>
      <c r="F97" s="27"/>
      <c r="G97" s="27"/>
      <c r="H97" s="27"/>
      <c r="I97" s="8"/>
    </row>
    <row r="98" ht="15.75" customHeight="1">
      <c r="A98" s="143" t="s">
        <v>168</v>
      </c>
      <c r="B98" s="135" t="s">
        <v>169</v>
      </c>
      <c r="C98" s="135" t="s">
        <v>170</v>
      </c>
      <c r="D98" s="48" t="s">
        <v>171</v>
      </c>
      <c r="E98" s="27"/>
      <c r="F98" s="27"/>
      <c r="G98" s="27"/>
      <c r="H98" s="27"/>
      <c r="I98" s="8"/>
    </row>
    <row r="99" ht="15.75" customHeight="1">
      <c r="A99" s="137"/>
      <c r="B99" s="137"/>
      <c r="C99" s="137"/>
      <c r="D99" s="138" t="s">
        <v>172</v>
      </c>
      <c r="E99" s="138" t="s">
        <v>173</v>
      </c>
      <c r="F99" s="138" t="s">
        <v>174</v>
      </c>
      <c r="G99" s="138" t="s">
        <v>175</v>
      </c>
      <c r="H99" s="138" t="s">
        <v>176</v>
      </c>
      <c r="I99" s="138" t="s">
        <v>177</v>
      </c>
    </row>
    <row r="100" ht="15.75" customHeight="1">
      <c r="A100" s="139">
        <v>100.0</v>
      </c>
      <c r="B100" s="11">
        <v>15.59628670120898</v>
      </c>
      <c r="C100" s="11">
        <v>16.800637526655716</v>
      </c>
      <c r="D100" s="11">
        <v>21.972668873565084</v>
      </c>
      <c r="E100" s="11">
        <v>21.30952925715608</v>
      </c>
      <c r="F100" s="11">
        <v>22.250346946447216</v>
      </c>
      <c r="G100" s="11">
        <v>17.870524192259303</v>
      </c>
      <c r="H100" s="11">
        <v>19.53312643918669</v>
      </c>
      <c r="I100" s="11">
        <v>25.619165457515752</v>
      </c>
    </row>
    <row r="101" ht="15.75" customHeight="1">
      <c r="A101" s="139">
        <v>200.0</v>
      </c>
      <c r="B101" s="11">
        <v>30.298359240069086</v>
      </c>
      <c r="C101" s="11">
        <v>33.73824423560817</v>
      </c>
      <c r="D101" s="11">
        <v>32.51576449950972</v>
      </c>
      <c r="E101" s="11">
        <v>29.748492386834542</v>
      </c>
      <c r="F101" s="11">
        <v>33.08316925335595</v>
      </c>
      <c r="G101" s="11">
        <v>39.18057260132874</v>
      </c>
      <c r="H101" s="11">
        <v>23.865446732000827</v>
      </c>
      <c r="I101" s="11">
        <v>27.217379039088108</v>
      </c>
    </row>
    <row r="102" ht="15.75" customHeight="1">
      <c r="A102" s="139">
        <v>300.0</v>
      </c>
      <c r="B102" s="11">
        <v>47.07297063903281</v>
      </c>
      <c r="C102" s="11">
        <v>50.42275113807256</v>
      </c>
      <c r="D102" s="11">
        <v>39.720611671405926</v>
      </c>
      <c r="E102" s="11">
        <v>37.11935789132823</v>
      </c>
      <c r="F102" s="11">
        <v>40.2707652080874</v>
      </c>
      <c r="G102" s="11">
        <v>46.49985326345169</v>
      </c>
      <c r="H102" s="11">
        <v>29.090360639037115</v>
      </c>
      <c r="I102" s="11">
        <v>28.157387629676744</v>
      </c>
    </row>
    <row r="103" ht="15.75" customHeight="1">
      <c r="A103" s="139">
        <v>400.0</v>
      </c>
      <c r="B103" s="11">
        <v>137.35794473229706</v>
      </c>
      <c r="C103" s="11">
        <v>52.38807783847187</v>
      </c>
      <c r="D103" s="11">
        <v>53.89957506523223</v>
      </c>
      <c r="E103" s="11">
        <v>63.570809403357906</v>
      </c>
      <c r="F103" s="11">
        <v>57.74021481091016</v>
      </c>
      <c r="G103" s="11">
        <v>51.84652469678549</v>
      </c>
      <c r="H103" s="11" t="s">
        <v>184</v>
      </c>
      <c r="I103" s="11">
        <v>30.155787002527216</v>
      </c>
    </row>
    <row r="104" ht="15.75" customHeight="1">
      <c r="A104" s="5"/>
      <c r="B104" s="141"/>
      <c r="C104" s="141"/>
      <c r="D104" s="141"/>
      <c r="E104" s="141"/>
      <c r="F104" s="141"/>
      <c r="G104" s="141"/>
      <c r="H104" s="141"/>
    </row>
    <row r="105" ht="15.75" customHeight="1">
      <c r="A105" s="5"/>
      <c r="B105" s="141"/>
      <c r="C105" s="141"/>
      <c r="D105" s="141"/>
      <c r="E105" s="141"/>
      <c r="F105" s="141"/>
      <c r="G105" s="141"/>
      <c r="H105" s="141"/>
    </row>
    <row r="106" ht="15.75" customHeight="1">
      <c r="A106" s="5"/>
      <c r="B106" s="141"/>
      <c r="C106" s="141"/>
      <c r="D106" s="141"/>
      <c r="E106" s="141"/>
      <c r="F106" s="141"/>
      <c r="G106" s="141"/>
      <c r="H106" s="141"/>
    </row>
    <row r="107" ht="15.75" customHeight="1">
      <c r="A107" s="5"/>
      <c r="B107" s="141"/>
      <c r="C107" s="141"/>
      <c r="D107" s="141"/>
      <c r="E107" s="141"/>
      <c r="F107" s="141"/>
      <c r="G107" s="141"/>
      <c r="H107" s="141"/>
    </row>
    <row r="108" ht="15.75" customHeight="1"/>
    <row r="109" ht="15.75" customHeight="1"/>
    <row r="110" ht="15.75" customHeight="1"/>
    <row r="111" ht="15.75" customHeight="1"/>
    <row r="112" ht="15.75" customHeight="1">
      <c r="A112" s="145" t="s">
        <v>185</v>
      </c>
      <c r="B112" s="27"/>
      <c r="C112" s="27"/>
      <c r="D112" s="27"/>
      <c r="E112" s="27"/>
      <c r="F112" s="27"/>
      <c r="G112" s="27"/>
      <c r="H112" s="27"/>
      <c r="I112" s="8"/>
    </row>
    <row r="113" ht="15.75" customHeight="1">
      <c r="A113" s="143" t="s">
        <v>168</v>
      </c>
      <c r="B113" s="135" t="s">
        <v>169</v>
      </c>
      <c r="C113" s="135" t="s">
        <v>170</v>
      </c>
      <c r="D113" s="48" t="s">
        <v>171</v>
      </c>
      <c r="E113" s="27"/>
      <c r="F113" s="27"/>
      <c r="G113" s="27"/>
      <c r="H113" s="27"/>
      <c r="I113" s="8"/>
    </row>
    <row r="114" ht="15.75" customHeight="1">
      <c r="A114" s="137"/>
      <c r="B114" s="137"/>
      <c r="C114" s="137"/>
      <c r="D114" s="138" t="s">
        <v>172</v>
      </c>
      <c r="E114" s="138" t="s">
        <v>173</v>
      </c>
      <c r="F114" s="138" t="s">
        <v>174</v>
      </c>
      <c r="G114" s="138" t="s">
        <v>175</v>
      </c>
      <c r="H114" s="138" t="s">
        <v>176</v>
      </c>
      <c r="I114" s="138" t="s">
        <v>177</v>
      </c>
    </row>
    <row r="115" ht="15.75" customHeight="1">
      <c r="A115" s="142">
        <v>100.0</v>
      </c>
      <c r="B115" s="11">
        <v>16.179188255613123</v>
      </c>
      <c r="C115" s="11">
        <v>16.72442502567506</v>
      </c>
      <c r="D115" s="11">
        <v>20.26576267299736</v>
      </c>
      <c r="E115" s="11">
        <v>20.030975554249977</v>
      </c>
      <c r="F115" s="11">
        <v>20.48211574555081</v>
      </c>
      <c r="G115" s="11">
        <v>16.28028570656887</v>
      </c>
      <c r="H115" s="11">
        <v>18.778500580707842</v>
      </c>
      <c r="I115" s="11">
        <v>10.186706294587275</v>
      </c>
    </row>
    <row r="116" ht="15.75" customHeight="1">
      <c r="A116" s="142">
        <v>200.0</v>
      </c>
      <c r="B116" s="11">
        <v>33.08333333333333</v>
      </c>
      <c r="C116" s="11">
        <v>33.25058984350675</v>
      </c>
      <c r="D116" s="11">
        <v>29.685572213706205</v>
      </c>
      <c r="E116" s="11">
        <v>26.750381804917726</v>
      </c>
      <c r="F116" s="11">
        <v>29.047879830017802</v>
      </c>
      <c r="G116" s="11">
        <v>34.73186511919557</v>
      </c>
      <c r="H116" s="11">
        <v>22.37716105123067</v>
      </c>
      <c r="I116" s="11">
        <v>10.748415942226439</v>
      </c>
    </row>
    <row r="117" ht="15.75" customHeight="1">
      <c r="A117" s="142">
        <v>300.0</v>
      </c>
      <c r="B117" s="11">
        <v>84.14119170984456</v>
      </c>
      <c r="C117" s="11">
        <v>42.97718196155258</v>
      </c>
      <c r="D117" s="11">
        <v>40.66284245519509</v>
      </c>
      <c r="E117" s="11">
        <v>39.018763415096636</v>
      </c>
      <c r="F117" s="11">
        <v>40.22614249170312</v>
      </c>
      <c r="G117" s="11">
        <v>42.8014333708327</v>
      </c>
      <c r="H117" s="11">
        <v>33.28756441219511</v>
      </c>
      <c r="I117" s="11">
        <v>11.361831174220853</v>
      </c>
    </row>
    <row r="118" ht="15.75" customHeight="1">
      <c r="A118" s="142">
        <v>400.0</v>
      </c>
      <c r="B118" s="11">
        <v>171.51165803108805</v>
      </c>
      <c r="C118" s="11">
        <v>45.56161814102229</v>
      </c>
      <c r="D118" s="11">
        <v>46.31609729853956</v>
      </c>
      <c r="E118" s="11">
        <v>52.041325572667304</v>
      </c>
      <c r="F118" s="11">
        <v>48.75419861281111</v>
      </c>
      <c r="G118" s="11">
        <v>44.08635112231181</v>
      </c>
      <c r="H118" s="11">
        <v>121.7999171723086</v>
      </c>
      <c r="I118" s="11">
        <v>11.766172112204794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A127" s="145" t="s">
        <v>186</v>
      </c>
      <c r="B127" s="27"/>
      <c r="C127" s="27"/>
      <c r="D127" s="27"/>
      <c r="E127" s="27"/>
      <c r="F127" s="27"/>
      <c r="G127" s="27"/>
      <c r="H127" s="27"/>
      <c r="I127" s="8"/>
    </row>
    <row r="128" ht="15.75" customHeight="1">
      <c r="A128" s="135" t="s">
        <v>168</v>
      </c>
      <c r="B128" s="135" t="s">
        <v>169</v>
      </c>
      <c r="C128" s="135" t="s">
        <v>170</v>
      </c>
      <c r="D128" s="48" t="s">
        <v>171</v>
      </c>
      <c r="E128" s="27"/>
      <c r="F128" s="27"/>
      <c r="G128" s="27"/>
      <c r="H128" s="27"/>
      <c r="I128" s="8"/>
    </row>
    <row r="129" ht="15.75" customHeight="1">
      <c r="A129" s="137"/>
      <c r="B129" s="137"/>
      <c r="C129" s="137"/>
      <c r="D129" s="138" t="s">
        <v>172</v>
      </c>
      <c r="E129" s="138" t="s">
        <v>173</v>
      </c>
      <c r="F129" s="138" t="s">
        <v>174</v>
      </c>
      <c r="G129" s="138" t="s">
        <v>175</v>
      </c>
      <c r="H129" s="138" t="s">
        <v>176</v>
      </c>
      <c r="I129" s="138" t="s">
        <v>177</v>
      </c>
    </row>
    <row r="130" ht="15.75" customHeight="1">
      <c r="A130" s="139">
        <v>100.0</v>
      </c>
      <c r="B130" s="11">
        <v>11.429620034542316</v>
      </c>
      <c r="C130" s="11">
        <v>17.584504372552168</v>
      </c>
      <c r="D130" s="353">
        <v>-0.5859728218362973</v>
      </c>
      <c r="E130" s="11">
        <v>23.361074933746377</v>
      </c>
      <c r="F130" s="11">
        <v>19.461997969471838</v>
      </c>
      <c r="G130" s="11">
        <v>5.555932153718004</v>
      </c>
      <c r="H130" s="11" t="s">
        <v>184</v>
      </c>
      <c r="I130" s="11">
        <v>16.83805470379563</v>
      </c>
    </row>
    <row r="131" ht="15.75" customHeight="1">
      <c r="A131" s="139">
        <v>200.0</v>
      </c>
      <c r="B131" s="11">
        <v>117.90630397236616</v>
      </c>
      <c r="C131" s="11">
        <v>16.28552672618902</v>
      </c>
      <c r="D131" s="353">
        <v>7.925970389905609</v>
      </c>
      <c r="E131" s="11">
        <v>10.747306424670034</v>
      </c>
      <c r="F131" s="11">
        <v>12.611941076024104</v>
      </c>
      <c r="G131" s="11">
        <v>9.039593965632788</v>
      </c>
      <c r="H131" s="11">
        <v>5.708873567296418</v>
      </c>
      <c r="I131" s="11">
        <v>17.98647610853592</v>
      </c>
    </row>
    <row r="132" ht="15.75" customHeight="1">
      <c r="A132" s="139">
        <v>300.0</v>
      </c>
      <c r="B132" s="11">
        <v>224.87953367875647</v>
      </c>
      <c r="C132" s="11">
        <v>14.93491056980921</v>
      </c>
      <c r="D132" s="353">
        <v>4.550595884760628</v>
      </c>
      <c r="E132" s="11">
        <v>8.669743676339333</v>
      </c>
      <c r="F132" s="11">
        <v>10.716692487131983</v>
      </c>
      <c r="G132" s="11">
        <v>9.072282717732511</v>
      </c>
      <c r="H132" s="11">
        <v>4.85778646412276</v>
      </c>
      <c r="I132" s="11">
        <v>18.21211477885222</v>
      </c>
    </row>
    <row r="133" ht="15.75" customHeight="1">
      <c r="A133" s="139">
        <v>400.0</v>
      </c>
      <c r="B133" s="11">
        <v>384.3570811744387</v>
      </c>
      <c r="C133" s="11">
        <v>3.130591643174185</v>
      </c>
      <c r="D133" s="353">
        <v>3.8088002170037707</v>
      </c>
      <c r="E133" s="11">
        <v>7.25368518891874</v>
      </c>
      <c r="F133" s="11">
        <v>9.143350651480528</v>
      </c>
      <c r="G133" s="11">
        <v>9.08048923741794</v>
      </c>
      <c r="H133" s="11">
        <v>4.381775772278496</v>
      </c>
      <c r="I133" s="11">
        <v>18.381688139569544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82:A83"/>
    <mergeCell ref="B82:B83"/>
    <mergeCell ref="C82:C83"/>
    <mergeCell ref="D82:I82"/>
    <mergeCell ref="A97:I97"/>
    <mergeCell ref="A98:A99"/>
    <mergeCell ref="B98:B99"/>
    <mergeCell ref="C98:C99"/>
    <mergeCell ref="D98:I98"/>
    <mergeCell ref="A112:I112"/>
    <mergeCell ref="B21:B22"/>
    <mergeCell ref="C21:C22"/>
    <mergeCell ref="A5:I5"/>
    <mergeCell ref="A6:A7"/>
    <mergeCell ref="B6:B7"/>
    <mergeCell ref="C6:C7"/>
    <mergeCell ref="D6:I6"/>
    <mergeCell ref="A20:I20"/>
    <mergeCell ref="A21:A22"/>
    <mergeCell ref="A52:A53"/>
    <mergeCell ref="B52:B53"/>
    <mergeCell ref="C52:C53"/>
    <mergeCell ref="D21:I21"/>
    <mergeCell ref="A35:I35"/>
    <mergeCell ref="A36:A37"/>
    <mergeCell ref="B36:B37"/>
    <mergeCell ref="C36:C37"/>
    <mergeCell ref="D36:I36"/>
    <mergeCell ref="A51:I51"/>
    <mergeCell ref="D52:I52"/>
    <mergeCell ref="A66:I66"/>
    <mergeCell ref="A67:A68"/>
    <mergeCell ref="B67:B68"/>
    <mergeCell ref="C67:C68"/>
    <mergeCell ref="D67:I67"/>
    <mergeCell ref="A81:I81"/>
    <mergeCell ref="A113:A114"/>
    <mergeCell ref="B113:B114"/>
    <mergeCell ref="C113:C114"/>
    <mergeCell ref="D113:I113"/>
    <mergeCell ref="A127:I127"/>
    <mergeCell ref="A128:A129"/>
    <mergeCell ref="B128:B129"/>
    <mergeCell ref="C128:C129"/>
    <mergeCell ref="D128:I12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5" width="13.86"/>
    <col customWidth="1" min="6" max="6" width="8.71"/>
    <col customWidth="1" min="7" max="7" width="12.29"/>
    <col customWidth="1" min="8" max="10" width="13.86"/>
    <col customWidth="1" min="11" max="11" width="8.71"/>
    <col customWidth="1" min="12" max="12" width="12.29"/>
    <col customWidth="1" min="13" max="15" width="13.86"/>
    <col customWidth="1" min="16" max="26" width="8.71"/>
  </cols>
  <sheetData>
    <row r="1">
      <c r="A1" s="74" t="s">
        <v>77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7"/>
      <c r="R1" s="78"/>
      <c r="S1" s="78"/>
      <c r="T1" s="78"/>
      <c r="U1" s="78"/>
      <c r="V1" s="78"/>
      <c r="W1" s="78"/>
      <c r="X1" s="79"/>
      <c r="Y1" s="5"/>
    </row>
    <row r="2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2"/>
      <c r="Q2" s="83"/>
      <c r="R2" s="84"/>
      <c r="S2" s="84"/>
      <c r="T2" s="84"/>
      <c r="U2" s="84"/>
      <c r="V2" s="84"/>
      <c r="W2" s="84"/>
      <c r="X2" s="85"/>
      <c r="Y2" s="5"/>
    </row>
    <row r="3">
      <c r="A3" s="86"/>
      <c r="B3" s="87"/>
      <c r="C3" s="88">
        <v>30.0</v>
      </c>
      <c r="D3" s="88">
        <v>45.0</v>
      </c>
      <c r="E3" s="88">
        <v>15.0</v>
      </c>
      <c r="F3" s="87"/>
      <c r="G3" s="87"/>
      <c r="H3" s="88">
        <v>30.0</v>
      </c>
      <c r="I3" s="88">
        <v>45.0</v>
      </c>
      <c r="J3" s="88">
        <v>15.0</v>
      </c>
      <c r="K3" s="88"/>
      <c r="L3" s="87"/>
      <c r="M3" s="88">
        <v>15.0</v>
      </c>
      <c r="N3" s="88">
        <v>45.0</v>
      </c>
      <c r="O3" s="88">
        <v>30.0</v>
      </c>
      <c r="P3" s="87"/>
      <c r="Q3" s="77"/>
      <c r="R3" s="78"/>
      <c r="S3" s="78"/>
      <c r="T3" s="78"/>
      <c r="U3" s="78"/>
      <c r="V3" s="78"/>
      <c r="W3" s="78"/>
      <c r="X3" s="79"/>
      <c r="Y3" s="5"/>
    </row>
    <row r="4">
      <c r="A4" s="89"/>
      <c r="B4" s="90" t="s">
        <v>78</v>
      </c>
      <c r="C4" s="91"/>
      <c r="D4" s="91"/>
      <c r="E4" s="92"/>
      <c r="F4" s="21"/>
      <c r="G4" s="90" t="s">
        <v>79</v>
      </c>
      <c r="H4" s="91"/>
      <c r="I4" s="91"/>
      <c r="J4" s="92"/>
      <c r="K4" s="21"/>
      <c r="L4" s="90" t="s">
        <v>80</v>
      </c>
      <c r="M4" s="91"/>
      <c r="N4" s="91"/>
      <c r="O4" s="92"/>
      <c r="P4" s="21"/>
      <c r="Q4" s="93"/>
      <c r="R4" s="19"/>
      <c r="S4" s="19"/>
      <c r="T4" s="19"/>
      <c r="U4" s="19"/>
      <c r="V4" s="19"/>
      <c r="W4" s="19"/>
      <c r="X4" s="94"/>
      <c r="Y4" s="5"/>
    </row>
    <row r="5">
      <c r="A5" s="95"/>
      <c r="B5" s="96" t="s">
        <v>81</v>
      </c>
      <c r="C5" s="97" t="s">
        <v>82</v>
      </c>
      <c r="D5" s="98" t="s">
        <v>83</v>
      </c>
      <c r="E5" s="99" t="s">
        <v>84</v>
      </c>
      <c r="F5" s="19"/>
      <c r="G5" s="96" t="s">
        <v>81</v>
      </c>
      <c r="H5" s="97" t="s">
        <v>82</v>
      </c>
      <c r="I5" s="98" t="s">
        <v>83</v>
      </c>
      <c r="J5" s="99" t="s">
        <v>84</v>
      </c>
      <c r="K5" s="19"/>
      <c r="L5" s="96" t="s">
        <v>81</v>
      </c>
      <c r="M5" s="97" t="s">
        <v>82</v>
      </c>
      <c r="N5" s="98" t="s">
        <v>83</v>
      </c>
      <c r="O5" s="99" t="s">
        <v>84</v>
      </c>
      <c r="P5" s="19"/>
      <c r="Q5" s="100"/>
      <c r="R5" s="19"/>
      <c r="S5" s="19"/>
      <c r="T5" s="19"/>
      <c r="U5" s="19"/>
      <c r="V5" s="19"/>
      <c r="W5" s="19"/>
      <c r="X5" s="94"/>
      <c r="Y5" s="5"/>
    </row>
    <row r="6">
      <c r="A6" s="95"/>
      <c r="B6" s="101" t="s">
        <v>475</v>
      </c>
      <c r="C6" s="102"/>
      <c r="D6" s="102"/>
      <c r="E6" s="103"/>
      <c r="F6" s="19"/>
      <c r="G6" s="101" t="s">
        <v>476</v>
      </c>
      <c r="H6" s="102"/>
      <c r="I6" s="102"/>
      <c r="J6" s="103"/>
      <c r="K6" s="19"/>
      <c r="L6" s="101" t="s">
        <v>477</v>
      </c>
      <c r="M6" s="43"/>
      <c r="N6" s="104"/>
      <c r="O6" s="105"/>
      <c r="P6" s="19"/>
      <c r="Q6" s="100"/>
      <c r="R6" s="19"/>
      <c r="S6" s="19"/>
      <c r="T6" s="19"/>
      <c r="U6" s="19"/>
      <c r="V6" s="19"/>
      <c r="W6" s="19"/>
      <c r="X6" s="94"/>
      <c r="Y6" s="5"/>
    </row>
    <row r="7">
      <c r="A7" s="95"/>
      <c r="B7" s="101" t="s">
        <v>478</v>
      </c>
      <c r="C7" s="102"/>
      <c r="D7" s="102"/>
      <c r="E7" s="103"/>
      <c r="F7" s="106"/>
      <c r="G7" s="101" t="s">
        <v>479</v>
      </c>
      <c r="H7" s="102"/>
      <c r="I7" s="102"/>
      <c r="J7" s="103"/>
      <c r="K7" s="19"/>
      <c r="L7" s="101" t="s">
        <v>480</v>
      </c>
      <c r="M7" s="102"/>
      <c r="N7" s="107"/>
      <c r="O7" s="103"/>
      <c r="P7" s="19"/>
      <c r="Q7" s="100"/>
      <c r="R7" s="19"/>
      <c r="S7" s="19"/>
      <c r="T7" s="19"/>
      <c r="U7" s="19"/>
      <c r="V7" s="19"/>
      <c r="W7" s="19"/>
      <c r="X7" s="94"/>
      <c r="Y7" s="5"/>
    </row>
    <row r="8">
      <c r="A8" s="95"/>
      <c r="B8" s="101"/>
      <c r="C8" s="34"/>
      <c r="D8" s="108"/>
      <c r="E8" s="109"/>
      <c r="F8" s="19"/>
      <c r="G8" s="101"/>
      <c r="H8" s="34"/>
      <c r="I8" s="102"/>
      <c r="J8" s="109"/>
      <c r="K8" s="19"/>
      <c r="L8" s="101"/>
      <c r="M8" s="34"/>
      <c r="N8" s="107"/>
      <c r="O8" s="103"/>
      <c r="P8" s="19"/>
      <c r="Q8" s="100"/>
      <c r="R8" s="19"/>
      <c r="S8" s="19"/>
      <c r="T8" s="19"/>
      <c r="U8" s="19"/>
      <c r="V8" s="19"/>
      <c r="W8" s="19"/>
      <c r="X8" s="94"/>
      <c r="Y8" s="5"/>
    </row>
    <row r="9">
      <c r="A9" s="95"/>
      <c r="B9" s="110" t="s">
        <v>481</v>
      </c>
      <c r="C9" s="111"/>
      <c r="D9" s="112"/>
      <c r="E9" s="113"/>
      <c r="F9" s="21"/>
      <c r="G9" s="110" t="s">
        <v>482</v>
      </c>
      <c r="H9" s="112"/>
      <c r="I9" s="112"/>
      <c r="J9" s="113"/>
      <c r="K9" s="19"/>
      <c r="L9" s="110" t="s">
        <v>483</v>
      </c>
      <c r="M9" s="112"/>
      <c r="N9" s="114"/>
      <c r="O9" s="113"/>
      <c r="P9" s="19"/>
      <c r="Q9" s="115"/>
      <c r="R9" s="84"/>
      <c r="S9" s="84"/>
      <c r="T9" s="84"/>
      <c r="U9" s="84"/>
      <c r="V9" s="84"/>
      <c r="W9" s="84"/>
      <c r="X9" s="85"/>
      <c r="Y9" s="5"/>
    </row>
    <row r="10">
      <c r="A10" s="95"/>
      <c r="B10" s="19"/>
      <c r="C10" s="19"/>
      <c r="D10" s="19"/>
      <c r="E10" s="25"/>
      <c r="F10" s="25"/>
      <c r="G10" s="19"/>
      <c r="H10" s="19"/>
      <c r="I10" s="19"/>
      <c r="J10" s="25"/>
      <c r="K10" s="19"/>
      <c r="L10" s="19"/>
      <c r="M10" s="19"/>
      <c r="N10" s="19"/>
      <c r="O10" s="25"/>
      <c r="P10" s="19"/>
      <c r="Q10" s="116"/>
      <c r="R10" s="78"/>
      <c r="S10" s="78"/>
      <c r="T10" s="78"/>
      <c r="U10" s="78"/>
      <c r="V10" s="78"/>
      <c r="W10" s="78"/>
      <c r="X10" s="79"/>
      <c r="Y10" s="5"/>
    </row>
    <row r="11">
      <c r="A11" s="95"/>
      <c r="B11" s="90" t="s">
        <v>95</v>
      </c>
      <c r="C11" s="91"/>
      <c r="D11" s="91"/>
      <c r="E11" s="92"/>
      <c r="F11" s="25"/>
      <c r="G11" s="90" t="s">
        <v>97</v>
      </c>
      <c r="H11" s="91"/>
      <c r="I11" s="91"/>
      <c r="J11" s="92"/>
      <c r="K11" s="19"/>
      <c r="L11" s="90" t="s">
        <v>98</v>
      </c>
      <c r="M11" s="91"/>
      <c r="N11" s="91"/>
      <c r="O11" s="92"/>
      <c r="P11" s="19"/>
      <c r="Q11" s="100"/>
      <c r="R11" s="19"/>
      <c r="S11" s="19"/>
      <c r="T11" s="19"/>
      <c r="U11" s="19"/>
      <c r="V11" s="19"/>
      <c r="W11" s="19"/>
      <c r="X11" s="94"/>
      <c r="Y11" s="5"/>
    </row>
    <row r="12">
      <c r="A12" s="95"/>
      <c r="B12" s="96" t="s">
        <v>81</v>
      </c>
      <c r="C12" s="98" t="s">
        <v>82</v>
      </c>
      <c r="D12" s="98" t="s">
        <v>83</v>
      </c>
      <c r="E12" s="99" t="s">
        <v>84</v>
      </c>
      <c r="F12" s="25"/>
      <c r="G12" s="96" t="s">
        <v>81</v>
      </c>
      <c r="H12" s="98" t="s">
        <v>82</v>
      </c>
      <c r="I12" s="98" t="s">
        <v>83</v>
      </c>
      <c r="J12" s="99" t="s">
        <v>84</v>
      </c>
      <c r="K12" s="19"/>
      <c r="L12" s="96" t="s">
        <v>81</v>
      </c>
      <c r="M12" s="98" t="s">
        <v>82</v>
      </c>
      <c r="N12" s="98" t="s">
        <v>83</v>
      </c>
      <c r="O12" s="99" t="s">
        <v>84</v>
      </c>
      <c r="P12" s="19"/>
      <c r="Q12" s="100"/>
      <c r="R12" s="19"/>
      <c r="S12" s="19"/>
      <c r="T12" s="19"/>
      <c r="U12" s="19"/>
      <c r="V12" s="19"/>
      <c r="W12" s="19"/>
      <c r="X12" s="94"/>
      <c r="Y12" s="5"/>
    </row>
    <row r="13">
      <c r="A13" s="95"/>
      <c r="B13" s="117" t="s">
        <v>484</v>
      </c>
      <c r="C13" s="43"/>
      <c r="D13" s="102"/>
      <c r="E13" s="103"/>
      <c r="F13" s="25"/>
      <c r="G13" s="117" t="s">
        <v>485</v>
      </c>
      <c r="H13" s="43"/>
      <c r="I13" s="102"/>
      <c r="J13" s="103"/>
      <c r="K13" s="19"/>
      <c r="L13" s="117" t="s">
        <v>486</v>
      </c>
      <c r="M13" s="43"/>
      <c r="N13" s="102"/>
      <c r="O13" s="103"/>
      <c r="P13" s="19"/>
      <c r="Q13" s="100"/>
      <c r="R13" s="19"/>
      <c r="S13" s="19"/>
      <c r="T13" s="19"/>
      <c r="U13" s="19"/>
      <c r="V13" s="19"/>
      <c r="W13" s="19"/>
      <c r="X13" s="94"/>
      <c r="Y13" s="5"/>
    </row>
    <row r="14">
      <c r="A14" s="95"/>
      <c r="B14" s="117" t="s">
        <v>487</v>
      </c>
      <c r="C14" s="102"/>
      <c r="D14" s="102"/>
      <c r="E14" s="103"/>
      <c r="F14" s="25"/>
      <c r="G14" s="117" t="s">
        <v>488</v>
      </c>
      <c r="H14" s="102"/>
      <c r="I14" s="102"/>
      <c r="J14" s="103"/>
      <c r="K14" s="19"/>
      <c r="L14" s="117" t="s">
        <v>489</v>
      </c>
      <c r="M14" s="102"/>
      <c r="N14" s="102"/>
      <c r="O14" s="103"/>
      <c r="P14" s="19"/>
      <c r="Q14" s="100"/>
      <c r="R14" s="19"/>
      <c r="S14" s="19"/>
      <c r="T14" s="19"/>
      <c r="U14" s="19"/>
      <c r="V14" s="19"/>
      <c r="W14" s="19"/>
      <c r="X14" s="94"/>
      <c r="Y14" s="5"/>
    </row>
    <row r="15">
      <c r="A15" s="95"/>
      <c r="B15" s="117" t="s">
        <v>490</v>
      </c>
      <c r="C15" s="102"/>
      <c r="D15" s="102"/>
      <c r="E15" s="103"/>
      <c r="F15" s="19"/>
      <c r="G15" s="117" t="s">
        <v>491</v>
      </c>
      <c r="H15" s="102"/>
      <c r="I15" s="102"/>
      <c r="J15" s="103"/>
      <c r="K15" s="19"/>
      <c r="L15" s="117" t="s">
        <v>492</v>
      </c>
      <c r="M15" s="102"/>
      <c r="N15" s="102"/>
      <c r="O15" s="103"/>
      <c r="P15" s="19"/>
      <c r="Q15" s="100"/>
      <c r="R15" s="19"/>
      <c r="S15" s="19"/>
      <c r="T15" s="19"/>
      <c r="U15" s="19"/>
      <c r="V15" s="19"/>
      <c r="W15" s="19"/>
      <c r="X15" s="94"/>
      <c r="Y15" s="5"/>
    </row>
    <row r="16">
      <c r="A16" s="95"/>
      <c r="B16" s="118" t="s">
        <v>493</v>
      </c>
      <c r="C16" s="112"/>
      <c r="D16" s="112"/>
      <c r="E16" s="113"/>
      <c r="F16" s="19"/>
      <c r="G16" s="118" t="s">
        <v>494</v>
      </c>
      <c r="H16" s="112"/>
      <c r="I16" s="112"/>
      <c r="J16" s="113"/>
      <c r="K16" s="19"/>
      <c r="L16" s="118" t="s">
        <v>495</v>
      </c>
      <c r="M16" s="112"/>
      <c r="N16" s="112"/>
      <c r="O16" s="113"/>
      <c r="P16" s="19"/>
      <c r="Q16" s="115"/>
      <c r="R16" s="84"/>
      <c r="S16" s="84"/>
      <c r="T16" s="84"/>
      <c r="U16" s="84"/>
      <c r="V16" s="84"/>
      <c r="W16" s="84"/>
      <c r="X16" s="85"/>
      <c r="Y16" s="5"/>
    </row>
    <row r="17">
      <c r="A17" s="9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16"/>
      <c r="R17" s="78"/>
      <c r="S17" s="78"/>
      <c r="T17" s="78"/>
      <c r="U17" s="78"/>
      <c r="V17" s="78"/>
      <c r="W17" s="78"/>
      <c r="X17" s="79"/>
      <c r="Y17" s="5"/>
    </row>
    <row r="18">
      <c r="A18" s="95"/>
      <c r="B18" s="90" t="s">
        <v>111</v>
      </c>
      <c r="C18" s="91"/>
      <c r="D18" s="91"/>
      <c r="E18" s="92"/>
      <c r="F18" s="19"/>
      <c r="G18" s="90" t="s">
        <v>112</v>
      </c>
      <c r="H18" s="91"/>
      <c r="I18" s="91"/>
      <c r="J18" s="92"/>
      <c r="K18" s="19"/>
      <c r="L18" s="90" t="s">
        <v>113</v>
      </c>
      <c r="M18" s="91"/>
      <c r="N18" s="91"/>
      <c r="O18" s="92"/>
      <c r="P18" s="19"/>
      <c r="Q18" s="100"/>
      <c r="R18" s="19"/>
      <c r="S18" s="19"/>
      <c r="T18" s="19"/>
      <c r="U18" s="19"/>
      <c r="V18" s="19"/>
      <c r="W18" s="19"/>
      <c r="X18" s="94"/>
      <c r="Y18" s="5"/>
    </row>
    <row r="19">
      <c r="A19" s="95"/>
      <c r="B19" s="96" t="s">
        <v>81</v>
      </c>
      <c r="C19" s="98" t="s">
        <v>82</v>
      </c>
      <c r="D19" s="98" t="s">
        <v>83</v>
      </c>
      <c r="E19" s="99" t="s">
        <v>84</v>
      </c>
      <c r="F19" s="19"/>
      <c r="G19" s="96" t="s">
        <v>81</v>
      </c>
      <c r="H19" s="98" t="s">
        <v>82</v>
      </c>
      <c r="I19" s="98" t="s">
        <v>83</v>
      </c>
      <c r="J19" s="99" t="s">
        <v>84</v>
      </c>
      <c r="K19" s="19"/>
      <c r="L19" s="96" t="s">
        <v>81</v>
      </c>
      <c r="M19" s="98" t="s">
        <v>82</v>
      </c>
      <c r="N19" s="98" t="s">
        <v>83</v>
      </c>
      <c r="O19" s="99" t="s">
        <v>84</v>
      </c>
      <c r="P19" s="19"/>
      <c r="Q19" s="100"/>
      <c r="R19" s="19"/>
      <c r="S19" s="19"/>
      <c r="T19" s="19"/>
      <c r="U19" s="19"/>
      <c r="V19" s="19"/>
      <c r="W19" s="19"/>
      <c r="X19" s="94"/>
      <c r="Y19" s="5"/>
    </row>
    <row r="20">
      <c r="A20" s="95"/>
      <c r="B20" s="117" t="s">
        <v>498</v>
      </c>
      <c r="C20" s="102"/>
      <c r="D20" s="102"/>
      <c r="E20" s="103"/>
      <c r="F20" s="19"/>
      <c r="G20" s="117" t="s">
        <v>500</v>
      </c>
      <c r="H20" s="102"/>
      <c r="I20" s="102"/>
      <c r="J20" s="103"/>
      <c r="K20" s="19"/>
      <c r="L20" s="117" t="s">
        <v>503</v>
      </c>
      <c r="M20" s="102"/>
      <c r="N20" s="102"/>
      <c r="O20" s="103"/>
      <c r="P20" s="19"/>
      <c r="Q20" s="100"/>
      <c r="R20" s="19"/>
      <c r="S20" s="19"/>
      <c r="T20" s="19"/>
      <c r="U20" s="19"/>
      <c r="V20" s="19"/>
      <c r="W20" s="19"/>
      <c r="X20" s="94"/>
      <c r="Y20" s="5"/>
    </row>
    <row r="21" ht="15.75" customHeight="1">
      <c r="A21" s="95"/>
      <c r="B21" s="117" t="s">
        <v>117</v>
      </c>
      <c r="C21" s="102"/>
      <c r="D21" s="102"/>
      <c r="E21" s="103"/>
      <c r="F21" s="19"/>
      <c r="G21" s="117" t="s">
        <v>117</v>
      </c>
      <c r="H21" s="102"/>
      <c r="I21" s="102"/>
      <c r="J21" s="103"/>
      <c r="K21" s="19"/>
      <c r="L21" s="117" t="s">
        <v>117</v>
      </c>
      <c r="M21" s="102"/>
      <c r="N21" s="102"/>
      <c r="O21" s="103"/>
      <c r="P21" s="19"/>
      <c r="Q21" s="100"/>
      <c r="R21" s="19"/>
      <c r="S21" s="19"/>
      <c r="T21" s="19"/>
      <c r="U21" s="19"/>
      <c r="V21" s="19"/>
      <c r="W21" s="19"/>
      <c r="X21" s="94"/>
      <c r="Y21" s="5"/>
    </row>
    <row r="22" ht="15.75" customHeight="1">
      <c r="A22" s="95"/>
      <c r="B22" s="117" t="s">
        <v>510</v>
      </c>
      <c r="C22" s="43"/>
      <c r="D22" s="102"/>
      <c r="E22" s="103"/>
      <c r="F22" s="19"/>
      <c r="G22" s="117" t="s">
        <v>511</v>
      </c>
      <c r="H22" s="102"/>
      <c r="I22" s="102"/>
      <c r="J22" s="103"/>
      <c r="K22" s="19"/>
      <c r="L22" s="117" t="s">
        <v>512</v>
      </c>
      <c r="M22" s="102"/>
      <c r="N22" s="102"/>
      <c r="O22" s="103"/>
      <c r="P22" s="19"/>
      <c r="Q22" s="100"/>
      <c r="R22" s="19"/>
      <c r="S22" s="19"/>
      <c r="T22" s="19"/>
      <c r="U22" s="19"/>
      <c r="V22" s="19"/>
      <c r="W22" s="19"/>
      <c r="X22" s="94"/>
      <c r="Y22" s="5"/>
    </row>
    <row r="23" ht="15.75" customHeight="1">
      <c r="A23" s="95"/>
      <c r="B23" s="118" t="s">
        <v>513</v>
      </c>
      <c r="C23" s="112"/>
      <c r="D23" s="112"/>
      <c r="E23" s="113"/>
      <c r="F23" s="19"/>
      <c r="G23" s="118" t="s">
        <v>514</v>
      </c>
      <c r="H23" s="112"/>
      <c r="I23" s="112"/>
      <c r="J23" s="113"/>
      <c r="K23" s="19"/>
      <c r="L23" s="118" t="s">
        <v>515</v>
      </c>
      <c r="M23" s="112"/>
      <c r="N23" s="112"/>
      <c r="O23" s="113"/>
      <c r="P23" s="19"/>
      <c r="Q23" s="115"/>
      <c r="R23" s="84"/>
      <c r="S23" s="84"/>
      <c r="T23" s="84"/>
      <c r="U23" s="84"/>
      <c r="V23" s="84"/>
      <c r="W23" s="84"/>
      <c r="X23" s="85"/>
      <c r="Y23" s="5"/>
    </row>
    <row r="24" ht="15.75" customHeight="1">
      <c r="A24" s="9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6"/>
      <c r="R24" s="78"/>
      <c r="S24" s="78"/>
      <c r="T24" s="78"/>
      <c r="U24" s="78"/>
      <c r="V24" s="78"/>
      <c r="W24" s="78"/>
      <c r="X24" s="79"/>
      <c r="Y24" s="5"/>
    </row>
    <row r="25" ht="15.75" customHeight="1">
      <c r="A25" s="95"/>
      <c r="B25" s="90" t="s">
        <v>124</v>
      </c>
      <c r="C25" s="91"/>
      <c r="D25" s="91"/>
      <c r="E25" s="92"/>
      <c r="F25" s="19"/>
      <c r="G25" s="90" t="s">
        <v>125</v>
      </c>
      <c r="H25" s="91"/>
      <c r="I25" s="91"/>
      <c r="J25" s="92"/>
      <c r="K25" s="19"/>
      <c r="L25" s="90" t="s">
        <v>126</v>
      </c>
      <c r="M25" s="91"/>
      <c r="N25" s="91"/>
      <c r="O25" s="92"/>
      <c r="P25" s="19"/>
      <c r="Q25" s="100"/>
      <c r="R25" s="19"/>
      <c r="S25" s="19"/>
      <c r="T25" s="19"/>
      <c r="U25" s="19"/>
      <c r="V25" s="19"/>
      <c r="W25" s="19"/>
      <c r="X25" s="94"/>
      <c r="Y25" s="5"/>
    </row>
    <row r="26" ht="15.75" customHeight="1">
      <c r="A26" s="95"/>
      <c r="B26" s="96" t="s">
        <v>81</v>
      </c>
      <c r="C26" s="98" t="s">
        <v>82</v>
      </c>
      <c r="D26" s="98" t="s">
        <v>83</v>
      </c>
      <c r="E26" s="99" t="s">
        <v>84</v>
      </c>
      <c r="F26" s="19"/>
      <c r="G26" s="96" t="s">
        <v>81</v>
      </c>
      <c r="H26" s="98" t="s">
        <v>82</v>
      </c>
      <c r="I26" s="98" t="s">
        <v>83</v>
      </c>
      <c r="J26" s="99" t="s">
        <v>84</v>
      </c>
      <c r="K26" s="19"/>
      <c r="L26" s="96" t="s">
        <v>81</v>
      </c>
      <c r="M26" s="98" t="s">
        <v>82</v>
      </c>
      <c r="N26" s="98" t="s">
        <v>83</v>
      </c>
      <c r="O26" s="99" t="s">
        <v>84</v>
      </c>
      <c r="P26" s="19"/>
      <c r="Q26" s="100"/>
      <c r="R26" s="19"/>
      <c r="S26" s="19"/>
      <c r="T26" s="19"/>
      <c r="U26" s="19"/>
      <c r="V26" s="19"/>
      <c r="W26" s="19"/>
      <c r="X26" s="94"/>
      <c r="Y26" s="5"/>
    </row>
    <row r="27" ht="15.75" customHeight="1">
      <c r="A27" s="95"/>
      <c r="B27" s="117" t="s">
        <v>541</v>
      </c>
      <c r="C27" s="102"/>
      <c r="D27" s="102"/>
      <c r="E27" s="103"/>
      <c r="F27" s="19"/>
      <c r="G27" s="117" t="s">
        <v>542</v>
      </c>
      <c r="H27" s="102"/>
      <c r="I27" s="102"/>
      <c r="J27" s="103"/>
      <c r="K27" s="19"/>
      <c r="L27" s="117" t="s">
        <v>543</v>
      </c>
      <c r="M27" s="102"/>
      <c r="N27" s="102"/>
      <c r="O27" s="103"/>
      <c r="P27" s="19"/>
      <c r="Q27" s="100"/>
      <c r="R27" s="19"/>
      <c r="S27" s="19"/>
      <c r="T27" s="19"/>
      <c r="U27" s="19"/>
      <c r="V27" s="19"/>
      <c r="W27" s="19"/>
      <c r="X27" s="94"/>
      <c r="Y27" s="5"/>
    </row>
    <row r="28" ht="15.75" customHeight="1">
      <c r="A28" s="95"/>
      <c r="B28" s="117" t="s">
        <v>544</v>
      </c>
      <c r="C28" s="119"/>
      <c r="D28" s="119"/>
      <c r="E28" s="120"/>
      <c r="F28" s="19"/>
      <c r="G28" s="117" t="s">
        <v>545</v>
      </c>
      <c r="H28" s="119"/>
      <c r="I28" s="119"/>
      <c r="J28" s="120"/>
      <c r="K28" s="19"/>
      <c r="L28" s="117" t="s">
        <v>546</v>
      </c>
      <c r="M28" s="119"/>
      <c r="N28" s="119"/>
      <c r="O28" s="120"/>
      <c r="P28" s="19"/>
      <c r="Q28" s="100"/>
      <c r="R28" s="19"/>
      <c r="S28" s="19"/>
      <c r="T28" s="19"/>
      <c r="U28" s="19"/>
      <c r="V28" s="19"/>
      <c r="W28" s="19"/>
      <c r="X28" s="94"/>
      <c r="Y28" s="5"/>
    </row>
    <row r="29" ht="15.75" customHeight="1">
      <c r="A29" s="95"/>
      <c r="B29" s="117" t="s">
        <v>133</v>
      </c>
      <c r="C29" s="43"/>
      <c r="D29" s="102"/>
      <c r="E29" s="103"/>
      <c r="F29" s="19"/>
      <c r="G29" s="117" t="s">
        <v>133</v>
      </c>
      <c r="H29" s="102"/>
      <c r="I29" s="102"/>
      <c r="J29" s="103"/>
      <c r="K29" s="19"/>
      <c r="L29" s="117" t="s">
        <v>133</v>
      </c>
      <c r="M29" s="102"/>
      <c r="N29" s="102"/>
      <c r="O29" s="109"/>
      <c r="P29" s="19"/>
      <c r="Q29" s="100"/>
      <c r="R29" s="19"/>
      <c r="S29" s="19"/>
      <c r="T29" s="19"/>
      <c r="U29" s="19"/>
      <c r="V29" s="19"/>
      <c r="W29" s="19"/>
      <c r="X29" s="94"/>
      <c r="Y29" s="5"/>
    </row>
    <row r="30" ht="15.75" customHeight="1">
      <c r="A30" s="95"/>
      <c r="B30" s="118" t="s">
        <v>547</v>
      </c>
      <c r="C30" s="112"/>
      <c r="D30" s="112"/>
      <c r="E30" s="113"/>
      <c r="F30" s="19"/>
      <c r="G30" s="118" t="s">
        <v>548</v>
      </c>
      <c r="H30" s="112"/>
      <c r="I30" s="112"/>
      <c r="J30" s="113"/>
      <c r="K30" s="19"/>
      <c r="L30" s="118" t="s">
        <v>549</v>
      </c>
      <c r="M30" s="112"/>
      <c r="N30" s="112"/>
      <c r="O30" s="113"/>
      <c r="P30" s="19"/>
      <c r="Q30" s="115"/>
      <c r="R30" s="84"/>
      <c r="S30" s="84"/>
      <c r="T30" s="84"/>
      <c r="U30" s="84"/>
      <c r="V30" s="84"/>
      <c r="W30" s="84"/>
      <c r="X30" s="85"/>
      <c r="Y30" s="5"/>
    </row>
    <row r="31" ht="15.75" customHeight="1">
      <c r="A31" s="9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94"/>
      <c r="Q31" s="19"/>
      <c r="R31" s="19"/>
      <c r="S31" s="19"/>
      <c r="T31" s="19"/>
      <c r="U31" s="19"/>
      <c r="V31" s="19"/>
      <c r="W31" s="19"/>
      <c r="X31" s="79"/>
      <c r="Y31" s="5"/>
    </row>
    <row r="32" ht="15.75" customHeight="1">
      <c r="A32" s="95"/>
      <c r="B32" s="90" t="s">
        <v>137</v>
      </c>
      <c r="C32" s="91"/>
      <c r="D32" s="91"/>
      <c r="E32" s="92"/>
      <c r="F32" s="19"/>
      <c r="G32" s="90" t="s">
        <v>138</v>
      </c>
      <c r="H32" s="91"/>
      <c r="I32" s="91"/>
      <c r="J32" s="92"/>
      <c r="K32" s="19"/>
      <c r="L32" s="90" t="s">
        <v>139</v>
      </c>
      <c r="M32" s="91"/>
      <c r="N32" s="91"/>
      <c r="O32" s="92"/>
      <c r="P32" s="94"/>
      <c r="Q32" s="19"/>
      <c r="R32" s="19"/>
      <c r="S32" s="19"/>
      <c r="T32" s="19"/>
      <c r="U32" s="19"/>
      <c r="V32" s="19"/>
      <c r="W32" s="19"/>
      <c r="X32" s="94"/>
      <c r="Y32" s="5"/>
    </row>
    <row r="33" ht="15.75" customHeight="1">
      <c r="A33" s="95"/>
      <c r="B33" s="96" t="s">
        <v>81</v>
      </c>
      <c r="C33" s="98" t="s">
        <v>82</v>
      </c>
      <c r="D33" s="98" t="s">
        <v>83</v>
      </c>
      <c r="E33" s="99" t="s">
        <v>84</v>
      </c>
      <c r="F33" s="19"/>
      <c r="G33" s="121" t="s">
        <v>81</v>
      </c>
      <c r="H33" s="122" t="s">
        <v>82</v>
      </c>
      <c r="I33" s="123" t="s">
        <v>83</v>
      </c>
      <c r="J33" s="99" t="s">
        <v>84</v>
      </c>
      <c r="K33" s="19"/>
      <c r="L33" s="96" t="s">
        <v>81</v>
      </c>
      <c r="M33" s="98" t="s">
        <v>82</v>
      </c>
      <c r="N33" s="98" t="s">
        <v>83</v>
      </c>
      <c r="O33" s="99" t="s">
        <v>84</v>
      </c>
      <c r="P33" s="19"/>
      <c r="Q33" s="100"/>
      <c r="R33" s="19"/>
      <c r="S33" s="19"/>
      <c r="T33" s="19"/>
      <c r="U33" s="19"/>
      <c r="V33" s="19"/>
      <c r="W33" s="19"/>
      <c r="X33" s="94"/>
      <c r="Y33" s="5"/>
    </row>
    <row r="34" ht="15.75" customHeight="1">
      <c r="A34" s="95"/>
      <c r="B34" s="124" t="s">
        <v>553</v>
      </c>
      <c r="C34" s="43"/>
      <c r="D34" s="43"/>
      <c r="E34" s="125"/>
      <c r="F34" s="19"/>
      <c r="G34" s="124" t="s">
        <v>554</v>
      </c>
      <c r="H34" s="43"/>
      <c r="I34" s="126"/>
      <c r="J34" s="125"/>
      <c r="K34" s="19"/>
      <c r="L34" s="124" t="s">
        <v>557</v>
      </c>
      <c r="M34" s="43"/>
      <c r="N34" s="126"/>
      <c r="O34" s="125"/>
      <c r="P34" s="19"/>
      <c r="Q34" s="100"/>
      <c r="R34" s="19"/>
      <c r="S34" s="19"/>
      <c r="T34" s="19"/>
      <c r="U34" s="19"/>
      <c r="V34" s="19"/>
      <c r="W34" s="19"/>
      <c r="X34" s="94"/>
      <c r="Y34" s="5"/>
    </row>
    <row r="35" ht="15.75" customHeight="1">
      <c r="A35" s="95"/>
      <c r="B35" s="101" t="s">
        <v>559</v>
      </c>
      <c r="C35" s="43"/>
      <c r="D35" s="43"/>
      <c r="E35" s="125"/>
      <c r="F35" s="19"/>
      <c r="G35" s="101" t="s">
        <v>560</v>
      </c>
      <c r="H35" s="43"/>
      <c r="I35" s="126"/>
      <c r="J35" s="125"/>
      <c r="K35" s="19"/>
      <c r="L35" s="101" t="s">
        <v>562</v>
      </c>
      <c r="M35" s="43"/>
      <c r="N35" s="126"/>
      <c r="O35" s="125"/>
      <c r="P35" s="19"/>
      <c r="Q35" s="100"/>
      <c r="R35" s="19"/>
      <c r="S35" s="19"/>
      <c r="T35" s="19"/>
      <c r="U35" s="19"/>
      <c r="V35" s="19"/>
      <c r="W35" s="19"/>
      <c r="X35" s="94"/>
      <c r="Y35" s="5"/>
    </row>
    <row r="36" ht="15.75" customHeight="1">
      <c r="A36" s="95"/>
      <c r="B36" s="101" t="s">
        <v>565</v>
      </c>
      <c r="C36" s="43"/>
      <c r="D36" s="43"/>
      <c r="E36" s="125"/>
      <c r="F36" s="19"/>
      <c r="G36" s="101" t="s">
        <v>566</v>
      </c>
      <c r="H36" s="43"/>
      <c r="I36" s="126"/>
      <c r="J36" s="125"/>
      <c r="K36" s="19"/>
      <c r="L36" s="101" t="s">
        <v>567</v>
      </c>
      <c r="M36" s="43"/>
      <c r="N36" s="126"/>
      <c r="O36" s="125"/>
      <c r="P36" s="19"/>
      <c r="Q36" s="100"/>
      <c r="R36" s="19"/>
      <c r="S36" s="19"/>
      <c r="T36" s="19"/>
      <c r="U36" s="19"/>
      <c r="V36" s="19"/>
      <c r="W36" s="19"/>
      <c r="X36" s="94"/>
      <c r="Y36" s="5"/>
    </row>
    <row r="37" ht="15.75" customHeight="1">
      <c r="A37" s="95"/>
      <c r="B37" s="110" t="s">
        <v>570</v>
      </c>
      <c r="C37" s="111"/>
      <c r="D37" s="111"/>
      <c r="E37" s="127"/>
      <c r="F37" s="19"/>
      <c r="G37" s="110" t="s">
        <v>573</v>
      </c>
      <c r="H37" s="111"/>
      <c r="I37" s="128"/>
      <c r="J37" s="127"/>
      <c r="K37" s="19"/>
      <c r="L37" s="110" t="s">
        <v>577</v>
      </c>
      <c r="M37" s="111"/>
      <c r="N37" s="128"/>
      <c r="O37" s="127"/>
      <c r="P37" s="19"/>
      <c r="Q37" s="100"/>
      <c r="R37" s="19"/>
      <c r="S37" s="19"/>
      <c r="T37" s="19"/>
      <c r="U37" s="19"/>
      <c r="V37" s="19"/>
      <c r="W37" s="19"/>
      <c r="X37" s="94"/>
      <c r="Y37" s="5"/>
    </row>
    <row r="38" ht="15.75" customHeight="1">
      <c r="A38" s="9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6"/>
      <c r="R38" s="78"/>
      <c r="S38" s="78"/>
      <c r="T38" s="78"/>
      <c r="U38" s="78"/>
      <c r="V38" s="78"/>
      <c r="W38" s="78"/>
      <c r="X38" s="79"/>
      <c r="Y38" s="5"/>
    </row>
    <row r="39" ht="15.75" customHeight="1">
      <c r="A39" s="95"/>
      <c r="B39" s="90" t="s">
        <v>152</v>
      </c>
      <c r="C39" s="91"/>
      <c r="D39" s="91"/>
      <c r="E39" s="92"/>
      <c r="F39" s="19"/>
      <c r="G39" s="90" t="s">
        <v>153</v>
      </c>
      <c r="H39" s="91"/>
      <c r="I39" s="91"/>
      <c r="J39" s="92"/>
      <c r="K39" s="19"/>
      <c r="L39" s="90" t="s">
        <v>154</v>
      </c>
      <c r="M39" s="91"/>
      <c r="N39" s="91"/>
      <c r="O39" s="92"/>
      <c r="P39" s="19"/>
      <c r="Q39" s="100"/>
      <c r="R39" s="19"/>
      <c r="S39" s="19"/>
      <c r="T39" s="19"/>
      <c r="U39" s="19"/>
      <c r="V39" s="19"/>
      <c r="W39" s="19"/>
      <c r="X39" s="94"/>
      <c r="Y39" s="5"/>
    </row>
    <row r="40" ht="15.75" customHeight="1">
      <c r="A40" s="95"/>
      <c r="B40" s="96" t="s">
        <v>81</v>
      </c>
      <c r="C40" s="98" t="s">
        <v>82</v>
      </c>
      <c r="D40" s="98" t="s">
        <v>83</v>
      </c>
      <c r="E40" s="99" t="s">
        <v>84</v>
      </c>
      <c r="F40" s="19"/>
      <c r="G40" s="96" t="s">
        <v>81</v>
      </c>
      <c r="H40" s="98" t="s">
        <v>82</v>
      </c>
      <c r="I40" s="98" t="s">
        <v>83</v>
      </c>
      <c r="J40" s="99" t="s">
        <v>84</v>
      </c>
      <c r="K40" s="19"/>
      <c r="L40" s="96" t="s">
        <v>81</v>
      </c>
      <c r="M40" s="98" t="s">
        <v>82</v>
      </c>
      <c r="N40" s="98" t="s">
        <v>83</v>
      </c>
      <c r="O40" s="99" t="s">
        <v>84</v>
      </c>
      <c r="P40" s="19"/>
      <c r="Q40" s="100"/>
      <c r="R40" s="19"/>
      <c r="S40" s="19"/>
      <c r="T40" s="19"/>
      <c r="U40" s="19"/>
      <c r="V40" s="19"/>
      <c r="W40" s="19"/>
      <c r="X40" s="94"/>
      <c r="Y40" s="5"/>
    </row>
    <row r="41" ht="15.75" customHeight="1">
      <c r="A41" s="95"/>
      <c r="B41" s="117" t="s">
        <v>589</v>
      </c>
      <c r="C41" s="43"/>
      <c r="D41" s="43"/>
      <c r="E41" s="125"/>
      <c r="F41" s="19"/>
      <c r="G41" s="117" t="s">
        <v>590</v>
      </c>
      <c r="H41" s="43"/>
      <c r="I41" s="43"/>
      <c r="J41" s="125"/>
      <c r="K41" s="19"/>
      <c r="L41" s="117" t="s">
        <v>591</v>
      </c>
      <c r="M41" s="43"/>
      <c r="N41" s="43"/>
      <c r="O41" s="125"/>
      <c r="P41" s="19"/>
      <c r="Q41" s="100"/>
      <c r="R41" s="19"/>
      <c r="S41" s="19"/>
      <c r="T41" s="19"/>
      <c r="U41" s="19"/>
      <c r="V41" s="19"/>
      <c r="W41" s="19"/>
      <c r="X41" s="94"/>
      <c r="Y41" s="5"/>
    </row>
    <row r="42" ht="15.75" customHeight="1">
      <c r="A42" s="95"/>
      <c r="B42" s="117" t="s">
        <v>593</v>
      </c>
      <c r="C42" s="43"/>
      <c r="D42" s="43"/>
      <c r="E42" s="125"/>
      <c r="F42" s="19"/>
      <c r="G42" s="117" t="s">
        <v>594</v>
      </c>
      <c r="H42" s="43"/>
      <c r="I42" s="43"/>
      <c r="J42" s="125"/>
      <c r="K42" s="19"/>
      <c r="L42" s="117" t="s">
        <v>595</v>
      </c>
      <c r="M42" s="43"/>
      <c r="N42" s="43"/>
      <c r="O42" s="125"/>
      <c r="P42" s="19"/>
      <c r="Q42" s="100"/>
      <c r="R42" s="19"/>
      <c r="S42" s="19"/>
      <c r="T42" s="19"/>
      <c r="U42" s="19"/>
      <c r="V42" s="19"/>
      <c r="W42" s="19"/>
      <c r="X42" s="94"/>
      <c r="Y42" s="5"/>
    </row>
    <row r="43" ht="15.75" customHeight="1">
      <c r="A43" s="95"/>
      <c r="B43" s="117" t="s">
        <v>596</v>
      </c>
      <c r="C43" s="129"/>
      <c r="D43" s="129"/>
      <c r="E43" s="130"/>
      <c r="F43" s="19"/>
      <c r="G43" s="117" t="s">
        <v>597</v>
      </c>
      <c r="H43" s="129"/>
      <c r="I43" s="129"/>
      <c r="J43" s="130"/>
      <c r="K43" s="19"/>
      <c r="L43" s="117" t="s">
        <v>598</v>
      </c>
      <c r="M43" s="129"/>
      <c r="N43" s="129"/>
      <c r="O43" s="130"/>
      <c r="P43" s="19"/>
      <c r="Q43" s="100"/>
      <c r="R43" s="19"/>
      <c r="S43" s="19"/>
      <c r="T43" s="19"/>
      <c r="U43" s="19"/>
      <c r="V43" s="19"/>
      <c r="W43" s="19"/>
      <c r="X43" s="94"/>
      <c r="Y43" s="5"/>
    </row>
    <row r="44" ht="15.75" customHeight="1">
      <c r="A44" s="95"/>
      <c r="B44" s="118" t="s">
        <v>600</v>
      </c>
      <c r="C44" s="111"/>
      <c r="D44" s="111"/>
      <c r="E44" s="127"/>
      <c r="F44" s="19"/>
      <c r="G44" s="118" t="s">
        <v>601</v>
      </c>
      <c r="H44" s="111"/>
      <c r="I44" s="111"/>
      <c r="J44" s="127"/>
      <c r="K44" s="19"/>
      <c r="L44" s="118" t="s">
        <v>602</v>
      </c>
      <c r="M44" s="111"/>
      <c r="N44" s="111"/>
      <c r="O44" s="127"/>
      <c r="P44" s="19"/>
      <c r="Q44" s="100"/>
      <c r="R44" s="19"/>
      <c r="S44" s="19"/>
      <c r="T44" s="19"/>
      <c r="U44" s="19"/>
      <c r="V44" s="19"/>
      <c r="W44" s="19"/>
      <c r="X44" s="94"/>
      <c r="Y44" s="5"/>
    </row>
    <row r="45" ht="15.75" customHeight="1">
      <c r="A45" s="131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15"/>
      <c r="R45" s="84"/>
      <c r="S45" s="133"/>
      <c r="T45" s="84"/>
      <c r="U45" s="84"/>
      <c r="V45" s="84"/>
      <c r="W45" s="84"/>
      <c r="X45" s="8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P2"/>
    <mergeCell ref="B4:E4"/>
    <mergeCell ref="G4:J4"/>
    <mergeCell ref="L4:O4"/>
    <mergeCell ref="B11:E11"/>
    <mergeCell ref="G11:J11"/>
    <mergeCell ref="L11:O11"/>
    <mergeCell ref="G32:J32"/>
    <mergeCell ref="L32:O32"/>
    <mergeCell ref="B39:E39"/>
    <mergeCell ref="G39:J39"/>
    <mergeCell ref="L39:O39"/>
    <mergeCell ref="B18:E18"/>
    <mergeCell ref="G18:J18"/>
    <mergeCell ref="L18:O18"/>
    <mergeCell ref="B25:E25"/>
    <mergeCell ref="G25:J25"/>
    <mergeCell ref="L25:O25"/>
    <mergeCell ref="B32:E3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2022-03-18T13:58:08Z</dcterms:created>
  <dc:creator>edezio pinho</dc:creator>
</cp:coreProperties>
</file>